
<file path=[Content_Types].xml><?xml version="1.0" encoding="utf-8"?>
<Types xmlns="http://schemas.openxmlformats.org/package/2006/content-types"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threadedComments/threadedComment1.xml" ContentType="application/vnd.ms-excel.threadedcomment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drawings/drawing3.xml" ContentType="application/vnd.openxmlformats-officedocument.drawing+xml"/>
  <Override PartName="/xl/charts/chart3.xml" ContentType="application/vnd.openxmlformats-officedocument.drawingml.chart+xml"/>
  <Override PartName="/xl/charts/style3.xml" ContentType="application/vnd.ms-office.chartstyle+xml"/>
  <Override PartName="/xl/charts/colors3.xml" ContentType="application/vnd.ms-office.chartcolorstyle+xml"/>
  <Override PartName="/xl/comments2.xml" ContentType="application/vnd.openxmlformats-officedocument.spreadsheetml.comments+xml"/>
  <Override PartName="/xl/threadedComments/threadedComment2.xml" ContentType="application/vnd.ms-excel.threadedcomments+xml"/>
  <Override PartName="/xl/drawings/drawing4.xml" ContentType="application/vnd.openxmlformats-officedocument.drawing+xml"/>
  <Override PartName="/xl/charts/chart4.xml" ContentType="application/vnd.openxmlformats-officedocument.drawingml.chart+xml"/>
  <Override PartName="/xl/charts/style4.xml" ContentType="application/vnd.ms-office.chartstyle+xml"/>
  <Override PartName="/xl/charts/colors4.xml" ContentType="application/vnd.ms-office.chartcolorstyle+xml"/>
  <Override PartName="/xl/charts/chart5.xml" ContentType="application/vnd.openxmlformats-officedocument.drawingml.chart+xml"/>
  <Override PartName="/xl/charts/style5.xml" ContentType="application/vnd.ms-office.chartstyle+xml"/>
  <Override PartName="/xl/charts/colors5.xml" ContentType="application/vnd.ms-office.chartcolorstyle+xml"/>
  <Override PartName="/xl/charts/chart6.xml" ContentType="application/vnd.openxmlformats-officedocument.drawingml.chart+xml"/>
  <Override PartName="/xl/charts/style6.xml" ContentType="application/vnd.ms-office.chartstyle+xml"/>
  <Override PartName="/xl/charts/colors6.xml" ContentType="application/vnd.ms-office.chartcolorstyle+xml"/>
  <Override PartName="/xl/charts/chart7.xml" ContentType="application/vnd.openxmlformats-officedocument.drawingml.chart+xml"/>
  <Override PartName="/xl/charts/style7.xml" ContentType="application/vnd.ms-office.chartstyle+xml"/>
  <Override PartName="/xl/charts/colors7.xml" ContentType="application/vnd.ms-office.chartcolorstyle+xml"/>
  <Override PartName="/xl/charts/chart8.xml" ContentType="application/vnd.openxmlformats-officedocument.drawingml.chart+xml"/>
  <Override PartName="/xl/charts/style8.xml" ContentType="application/vnd.ms-office.chartstyle+xml"/>
  <Override PartName="/xl/charts/colors8.xml" ContentType="application/vnd.ms-office.chartcolorstyle+xml"/>
  <Override PartName="/xl/charts/chart9.xml" ContentType="application/vnd.openxmlformats-officedocument.drawingml.chart+xml"/>
  <Override PartName="/xl/charts/style9.xml" ContentType="application/vnd.ms-office.chartstyle+xml"/>
  <Override PartName="/xl/charts/colors9.xml" ContentType="application/vnd.ms-office.chartcolorstyle+xml"/>
  <Override PartName="/xl/charts/chart10.xml" ContentType="application/vnd.openxmlformats-officedocument.drawingml.chart+xml"/>
  <Override PartName="/xl/charts/style10.xml" ContentType="application/vnd.ms-office.chartstyle+xml"/>
  <Override PartName="/xl/charts/colors10.xml" ContentType="application/vnd.ms-office.chartcolorstyle+xml"/>
  <Override PartName="/xl/charts/chart11.xml" ContentType="application/vnd.openxmlformats-officedocument.drawingml.chart+xml"/>
  <Override PartName="/xl/charts/style11.xml" ContentType="application/vnd.ms-office.chartstyle+xml"/>
  <Override PartName="/xl/charts/colors11.xml" ContentType="application/vnd.ms-office.chartcolorstyle+xml"/>
  <Override PartName="/xl/pivotTables/pivotTable1.xml" ContentType="application/vnd.openxmlformats-officedocument.spreadsheetml.pivotTable+xml"/>
  <Override PartName="/xl/drawings/drawing5.xml" ContentType="application/vnd.openxmlformats-officedocument.drawing+xml"/>
  <Override PartName="/xl/charts/chart12.xml" ContentType="application/vnd.openxmlformats-officedocument.drawingml.chart+xml"/>
  <Override PartName="/xl/charts/style12.xml" ContentType="application/vnd.ms-office.chartstyle+xml"/>
  <Override PartName="/xl/charts/colors12.xml" ContentType="application/vnd.ms-office.chartcolorstyle+xml"/>
  <Override PartName="/xl/persons/person.xml" ContentType="application/vnd.ms-excel.person+xml"/>
  <Override PartName="/xl/calcChain.xml" ContentType="application/vnd.openxmlformats-officedocument.spreadsheetml.calcChain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4" rupBuild="29530"/>
  <workbookPr hidePivotFieldList="1"/>
  <mc:AlternateContent xmlns:mc="http://schemas.openxmlformats.org/markup-compatibility/2006">
    <mc:Choice Requires="x15">
      <x15ac:absPath xmlns:x15ac="http://schemas.microsoft.com/office/spreadsheetml/2010/11/ac" url="https://iit0-my.sharepoint.com/personal/anaidu1_hawk_illinoistech_edu/Documents/Attachments/"/>
    </mc:Choice>
  </mc:AlternateContent>
  <xr:revisionPtr revIDLastSave="0" documentId="8_{D3FC9CC9-8E41-41CC-9EB1-F91C9AA322BC}" xr6:coauthVersionLast="47" xr6:coauthVersionMax="47" xr10:uidLastSave="{00000000-0000-0000-0000-000000000000}"/>
  <bookViews>
    <workbookView xWindow="240" yWindow="760" windowWidth="26840" windowHeight="15400" firstSheet="16" activeTab="5" xr2:uid="{00000000-000D-0000-FFFF-FFFF00000000}"/>
  </bookViews>
  <sheets>
    <sheet name="Company Summary" sheetId="2" r:id="rId1"/>
    <sheet name="Data Input Financial Statements" sheetId="1" r:id="rId2"/>
    <sheet name="Liquidity Ratios" sheetId="3" r:id="rId3"/>
    <sheet name="Leverage (Solvency Ratio)" sheetId="4" r:id="rId4"/>
    <sheet name="EBITDA" sheetId="13" r:id="rId5"/>
    <sheet name="Efficiency (Activity Ratio)" sheetId="8" r:id="rId6"/>
    <sheet name="Profitabilty Ratio" sheetId="9" r:id="rId7"/>
    <sheet name="Market Value Ratio" sheetId="7" r:id="rId8"/>
    <sheet name="Altman z score+ Dupont Analysis" sheetId="10" r:id="rId9"/>
    <sheet name="Ratio Graphs" sheetId="20" r:id="rId10"/>
    <sheet name=" DCF Valuation " sheetId="11" r:id="rId11"/>
    <sheet name="Discount Rate 2024 (WACC)" sheetId="14" r:id="rId12"/>
    <sheet name="DiscounT Rate 2025 (WACC)" sheetId="19" r:id="rId13"/>
    <sheet name="Terminal Value Calculation" sheetId="12" r:id="rId14"/>
    <sheet name="10-yr BOND YEILD" sheetId="18" r:id="rId15"/>
    <sheet name="Present Value Calculation" sheetId="15" r:id="rId16"/>
    <sheet name="Relative valuation" sheetId="17" r:id="rId17"/>
    <sheet name="Sheet2" sheetId="23" r:id="rId18"/>
    <sheet name="Sheet4" sheetId="24" r:id="rId19"/>
  </sheets>
  <calcPr calcId="191028"/>
  <pivotCaches>
    <pivotCache cacheId="4080" r:id="rId20"/>
  </pivotCaches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B17" i="17" l="1"/>
  <c r="B13" i="17"/>
  <c r="H14" i="17"/>
  <c r="B12" i="17"/>
  <c r="G14" i="17"/>
  <c r="X6" i="15"/>
  <c r="I5" i="15"/>
  <c r="L12" i="15"/>
  <c r="G52" i="11"/>
  <c r="G5" i="11"/>
  <c r="F6" i="11"/>
  <c r="C6" i="11"/>
  <c r="E6" i="11"/>
  <c r="V7" i="15"/>
  <c r="O6" i="15"/>
  <c r="B16" i="17"/>
  <c r="B18" i="17" s="1"/>
  <c r="B24" i="17" s="1"/>
  <c r="L7" i="15"/>
  <c r="M6" i="15"/>
  <c r="N6" i="15"/>
  <c r="P6" i="15"/>
  <c r="L6" i="15"/>
  <c r="F12" i="17"/>
  <c r="E5" i="15"/>
  <c r="G23" i="4"/>
  <c r="G24" i="4"/>
  <c r="G25" i="4"/>
  <c r="F25" i="4"/>
  <c r="F24" i="4"/>
  <c r="F23" i="4"/>
  <c r="C4" i="11"/>
  <c r="B14" i="17"/>
  <c r="B15" i="17" s="1"/>
  <c r="E3" i="19"/>
  <c r="C16" i="19"/>
  <c r="C23" i="19"/>
  <c r="C14" i="19"/>
  <c r="C5" i="19"/>
  <c r="H1" i="18"/>
  <c r="C19" i="19"/>
  <c r="D12" i="19" s="1"/>
  <c r="E2" i="19"/>
  <c r="C24" i="14"/>
  <c r="C17" i="14" s="1"/>
  <c r="C15" i="14"/>
  <c r="C6" i="14"/>
  <c r="G19" i="11"/>
  <c r="G18" i="11"/>
  <c r="H50" i="11"/>
  <c r="I50" i="11"/>
  <c r="J50" i="11"/>
  <c r="K50" i="11"/>
  <c r="G50" i="11"/>
  <c r="G49" i="11" s="1"/>
  <c r="H49" i="11" s="1"/>
  <c r="I49" i="11" s="1"/>
  <c r="J49" i="11" s="1"/>
  <c r="K49" i="11" s="1"/>
  <c r="K46" i="11"/>
  <c r="J46" i="11"/>
  <c r="I46" i="11"/>
  <c r="H46" i="11"/>
  <c r="G46" i="11"/>
  <c r="C45" i="11"/>
  <c r="D45" i="11"/>
  <c r="D47" i="11" s="1"/>
  <c r="E45" i="11"/>
  <c r="E47" i="11" s="1"/>
  <c r="F45" i="11"/>
  <c r="B45" i="11"/>
  <c r="G39" i="11"/>
  <c r="J40" i="11"/>
  <c r="I40" i="11"/>
  <c r="H40" i="11"/>
  <c r="H39" i="11" s="1"/>
  <c r="I39" i="11" s="1"/>
  <c r="J39" i="11" s="1"/>
  <c r="K39" i="11" s="1"/>
  <c r="G40" i="11"/>
  <c r="C39" i="11"/>
  <c r="C41" i="11" s="1"/>
  <c r="D39" i="11"/>
  <c r="D41" i="11" s="1"/>
  <c r="D52" i="11" s="1"/>
  <c r="E39" i="11"/>
  <c r="E41" i="11" s="1"/>
  <c r="E52" i="11" s="1"/>
  <c r="F39" i="11"/>
  <c r="F41" i="11" s="1"/>
  <c r="B39" i="11"/>
  <c r="B41" i="11" s="1"/>
  <c r="B52" i="11" s="1"/>
  <c r="K38" i="11"/>
  <c r="J38" i="11"/>
  <c r="I38" i="11"/>
  <c r="H38" i="11"/>
  <c r="G38" i="11"/>
  <c r="F38" i="11"/>
  <c r="E38" i="11"/>
  <c r="D38" i="11"/>
  <c r="C38" i="11"/>
  <c r="G37" i="11"/>
  <c r="H36" i="11"/>
  <c r="I36" i="11"/>
  <c r="J36" i="11"/>
  <c r="K36" i="11"/>
  <c r="G36" i="11"/>
  <c r="G35" i="11" s="1"/>
  <c r="H35" i="11" s="1"/>
  <c r="I35" i="11" s="1"/>
  <c r="J35" i="11" s="1"/>
  <c r="K35" i="11" s="1"/>
  <c r="F36" i="11"/>
  <c r="E36" i="11"/>
  <c r="D36" i="11"/>
  <c r="C36" i="11"/>
  <c r="C33" i="11"/>
  <c r="D33" i="11"/>
  <c r="D34" i="11" s="1"/>
  <c r="E33" i="11"/>
  <c r="E34" i="11" s="1"/>
  <c r="F33" i="11"/>
  <c r="F34" i="11" s="1"/>
  <c r="B33" i="11"/>
  <c r="D32" i="11"/>
  <c r="E32" i="11"/>
  <c r="F32" i="11"/>
  <c r="C32" i="11"/>
  <c r="D30" i="11"/>
  <c r="E30" i="11"/>
  <c r="F30" i="11"/>
  <c r="C30" i="11"/>
  <c r="G29" i="11"/>
  <c r="D28" i="11"/>
  <c r="E28" i="11"/>
  <c r="F28" i="11"/>
  <c r="C28" i="11"/>
  <c r="D26" i="11"/>
  <c r="E26" i="11"/>
  <c r="F26" i="11"/>
  <c r="G25" i="11"/>
  <c r="H25" i="11" s="1"/>
  <c r="I25" i="11" s="1"/>
  <c r="J25" i="11" s="1"/>
  <c r="K25" i="11" s="1"/>
  <c r="C26" i="11"/>
  <c r="D17" i="11"/>
  <c r="E17" i="11"/>
  <c r="F17" i="11"/>
  <c r="C17" i="11"/>
  <c r="D15" i="11"/>
  <c r="E15" i="11"/>
  <c r="F15" i="11"/>
  <c r="G15" i="11"/>
  <c r="H15" i="11"/>
  <c r="I15" i="11"/>
  <c r="J15" i="11"/>
  <c r="K15" i="11"/>
  <c r="C15" i="11"/>
  <c r="H21" i="11"/>
  <c r="I21" i="11"/>
  <c r="J21" i="11"/>
  <c r="K21" i="11"/>
  <c r="G21" i="11"/>
  <c r="G20" i="11" s="1"/>
  <c r="H20" i="11" s="1"/>
  <c r="I20" i="11" s="1"/>
  <c r="J20" i="11" s="1"/>
  <c r="K20" i="11" s="1"/>
  <c r="D21" i="11"/>
  <c r="E21" i="11"/>
  <c r="F21" i="11"/>
  <c r="C21" i="11"/>
  <c r="H19" i="11"/>
  <c r="I19" i="11"/>
  <c r="J19" i="11"/>
  <c r="K19" i="11"/>
  <c r="H18" i="11"/>
  <c r="I18" i="11" s="1"/>
  <c r="J18" i="11" s="1"/>
  <c r="K18" i="11" s="1"/>
  <c r="D19" i="11"/>
  <c r="E19" i="11"/>
  <c r="F19" i="11"/>
  <c r="C19" i="11"/>
  <c r="H12" i="11"/>
  <c r="I12" i="11"/>
  <c r="J12" i="11"/>
  <c r="K12" i="11"/>
  <c r="G12" i="11"/>
  <c r="G11" i="11" s="1"/>
  <c r="H11" i="11" s="1"/>
  <c r="I11" i="11" s="1"/>
  <c r="J11" i="11" s="1"/>
  <c r="K11" i="11" s="1"/>
  <c r="D12" i="11"/>
  <c r="E12" i="11"/>
  <c r="F12" i="11"/>
  <c r="C12" i="11"/>
  <c r="K10" i="11"/>
  <c r="J10" i="11"/>
  <c r="I10" i="11"/>
  <c r="H10" i="11"/>
  <c r="G10" i="11"/>
  <c r="G9" i="11" s="1"/>
  <c r="H9" i="11" s="1"/>
  <c r="I9" i="11" s="1"/>
  <c r="J9" i="11" s="1"/>
  <c r="K9" i="11" s="1"/>
  <c r="D10" i="11"/>
  <c r="E10" i="11"/>
  <c r="F10" i="11"/>
  <c r="C10" i="11"/>
  <c r="D6" i="11"/>
  <c r="C7" i="11"/>
  <c r="D7" i="11"/>
  <c r="D8" i="11" s="1"/>
  <c r="E7" i="11"/>
  <c r="E8" i="11" s="1"/>
  <c r="F7" i="11"/>
  <c r="F8" i="11" s="1"/>
  <c r="B7" i="11"/>
  <c r="G3" i="11"/>
  <c r="D4" i="11"/>
  <c r="E4" i="11"/>
  <c r="F4" i="11"/>
  <c r="G14" i="10"/>
  <c r="H14" i="10"/>
  <c r="G12" i="10"/>
  <c r="H12" i="10"/>
  <c r="G11" i="10"/>
  <c r="H11" i="10"/>
  <c r="H10" i="10"/>
  <c r="G13" i="10"/>
  <c r="H13" i="10"/>
  <c r="G32" i="10"/>
  <c r="H32" i="10"/>
  <c r="G31" i="10"/>
  <c r="H31" i="10"/>
  <c r="G30" i="10"/>
  <c r="H30" i="10"/>
  <c r="G29" i="10"/>
  <c r="H29" i="10"/>
  <c r="G28" i="10"/>
  <c r="G33" i="10" s="1"/>
  <c r="H28" i="10"/>
  <c r="H33" i="10" s="1"/>
  <c r="F28" i="10"/>
  <c r="G23" i="10"/>
  <c r="H23" i="10"/>
  <c r="G22" i="10"/>
  <c r="H22" i="10"/>
  <c r="H21" i="10"/>
  <c r="H24" i="10" s="1"/>
  <c r="G21" i="10"/>
  <c r="G24" i="10" s="1"/>
  <c r="F7" i="13"/>
  <c r="D7" i="13"/>
  <c r="C7" i="13"/>
  <c r="B7" i="13"/>
  <c r="D47" i="7"/>
  <c r="E88" i="8"/>
  <c r="F95" i="8"/>
  <c r="E87" i="8" s="1"/>
  <c r="F76" i="8"/>
  <c r="F97" i="8"/>
  <c r="E35" i="9" s="1"/>
  <c r="F94" i="8"/>
  <c r="I10" i="9"/>
  <c r="I9" i="9"/>
  <c r="I8" i="9"/>
  <c r="F77" i="8"/>
  <c r="E31" i="9" s="1"/>
  <c r="F60" i="8"/>
  <c r="E68" i="8"/>
  <c r="F59" i="8"/>
  <c r="F75" i="8"/>
  <c r="E67" i="8" s="1"/>
  <c r="F58" i="8"/>
  <c r="F74" i="8"/>
  <c r="F57" i="8"/>
  <c r="D36" i="7"/>
  <c r="D37" i="7"/>
  <c r="D35" i="7"/>
  <c r="D34" i="7"/>
  <c r="G9" i="3"/>
  <c r="G8" i="3"/>
  <c r="G7" i="3"/>
  <c r="F8" i="3"/>
  <c r="F7" i="3"/>
  <c r="F9" i="3"/>
  <c r="E7" i="3"/>
  <c r="H6" i="10"/>
  <c r="E14" i="10"/>
  <c r="F14" i="10"/>
  <c r="D14" i="10"/>
  <c r="F13" i="10"/>
  <c r="E13" i="10"/>
  <c r="D13" i="10"/>
  <c r="F12" i="10"/>
  <c r="E12" i="10"/>
  <c r="D12" i="10"/>
  <c r="F11" i="10"/>
  <c r="E11" i="10"/>
  <c r="D11" i="10"/>
  <c r="G10" i="10"/>
  <c r="G6" i="10" s="1"/>
  <c r="F10" i="10"/>
  <c r="F6" i="10" s="1"/>
  <c r="E10" i="10"/>
  <c r="E6" i="10" s="1"/>
  <c r="D10" i="10"/>
  <c r="D6" i="10" s="1"/>
  <c r="H10" i="9"/>
  <c r="H9" i="9"/>
  <c r="H8" i="9"/>
  <c r="D26" i="7"/>
  <c r="D20" i="7"/>
  <c r="D18" i="7"/>
  <c r="D10" i="7"/>
  <c r="D8" i="7"/>
  <c r="F30" i="10"/>
  <c r="E30" i="10"/>
  <c r="D30" i="10"/>
  <c r="F29" i="10"/>
  <c r="E29" i="10"/>
  <c r="D29" i="10"/>
  <c r="E28" i="10"/>
  <c r="D28" i="10"/>
  <c r="F32" i="10"/>
  <c r="E32" i="10"/>
  <c r="D32" i="10"/>
  <c r="F31" i="10"/>
  <c r="E31" i="10"/>
  <c r="D31" i="10"/>
  <c r="F23" i="10"/>
  <c r="E23" i="10"/>
  <c r="E10" i="4"/>
  <c r="E9" i="4"/>
  <c r="E8" i="4"/>
  <c r="D23" i="10"/>
  <c r="F22" i="10"/>
  <c r="E22" i="10"/>
  <c r="D22" i="10"/>
  <c r="F21" i="10"/>
  <c r="F24" i="10" s="1"/>
  <c r="E21" i="10"/>
  <c r="E24" i="10" s="1"/>
  <c r="D21" i="10"/>
  <c r="D24" i="10" s="1"/>
  <c r="E25" i="4"/>
  <c r="G15" i="4"/>
  <c r="F15" i="4"/>
  <c r="E15" i="4"/>
  <c r="E24" i="4"/>
  <c r="G14" i="4"/>
  <c r="F14" i="4"/>
  <c r="E14" i="4"/>
  <c r="E23" i="4"/>
  <c r="G13" i="4"/>
  <c r="F13" i="4"/>
  <c r="E13" i="4"/>
  <c r="D19" i="7"/>
  <c r="D9" i="7"/>
  <c r="D7" i="7"/>
  <c r="D25" i="7"/>
  <c r="D17" i="7"/>
  <c r="G10" i="9"/>
  <c r="F10" i="9"/>
  <c r="G9" i="9"/>
  <c r="F9" i="9"/>
  <c r="G8" i="9"/>
  <c r="F8" i="9"/>
  <c r="E26" i="9"/>
  <c r="F43" i="8"/>
  <c r="E22" i="9" s="1"/>
  <c r="E51" i="8"/>
  <c r="F42" i="8"/>
  <c r="E35" i="8" s="1"/>
  <c r="E50" i="8"/>
  <c r="F41" i="8"/>
  <c r="E34" i="8" s="1"/>
  <c r="E25" i="9"/>
  <c r="F40" i="8"/>
  <c r="E21" i="9" s="1"/>
  <c r="F18" i="8"/>
  <c r="E17" i="9" s="1"/>
  <c r="F17" i="8"/>
  <c r="E11" i="8" s="1"/>
  <c r="F16" i="8"/>
  <c r="E10" i="8" s="1"/>
  <c r="F15" i="8"/>
  <c r="E16" i="9" s="1"/>
  <c r="E9" i="3"/>
  <c r="D9" i="3"/>
  <c r="E8" i="3"/>
  <c r="D8" i="3"/>
  <c r="E8" i="9"/>
  <c r="E10" i="9"/>
  <c r="E9" i="9"/>
  <c r="C8" i="3"/>
  <c r="C9" i="3"/>
  <c r="C7" i="3"/>
  <c r="D7" i="3"/>
  <c r="R6" i="15" l="1"/>
  <c r="E4" i="14"/>
  <c r="C20" i="14" s="1"/>
  <c r="D13" i="14" s="1"/>
  <c r="E3" i="14"/>
  <c r="H29" i="11"/>
  <c r="F47" i="11"/>
  <c r="F52" i="11" s="1"/>
  <c r="G45" i="11"/>
  <c r="C47" i="11"/>
  <c r="C52" i="11" s="1"/>
  <c r="H37" i="11"/>
  <c r="G41" i="11"/>
  <c r="C34" i="11"/>
  <c r="C8" i="11"/>
  <c r="H3" i="11"/>
  <c r="E34" i="9"/>
  <c r="E86" i="8"/>
  <c r="E30" i="9"/>
  <c r="E66" i="8"/>
  <c r="E33" i="10"/>
  <c r="F33" i="10"/>
  <c r="D33" i="10"/>
  <c r="E9" i="8"/>
  <c r="E33" i="8"/>
  <c r="E49" i="8"/>
  <c r="V9" i="15" l="1"/>
  <c r="B23" i="17" s="1"/>
  <c r="A27" i="17" s="1"/>
  <c r="G47" i="11"/>
  <c r="H45" i="11"/>
  <c r="I29" i="11"/>
  <c r="I37" i="11"/>
  <c r="H41" i="11"/>
  <c r="I3" i="11"/>
  <c r="J29" i="11" l="1"/>
  <c r="H47" i="11"/>
  <c r="H52" i="11" s="1"/>
  <c r="I45" i="11"/>
  <c r="J37" i="11"/>
  <c r="I41" i="11"/>
  <c r="J3" i="11"/>
  <c r="I47" i="11" l="1"/>
  <c r="I52" i="11" s="1"/>
  <c r="J45" i="11"/>
  <c r="K29" i="11"/>
  <c r="K37" i="11"/>
  <c r="K41" i="11" s="1"/>
  <c r="J41" i="11"/>
  <c r="K3" i="11"/>
  <c r="J47" i="11" l="1"/>
  <c r="J52" i="11" s="1"/>
  <c r="K45" i="11"/>
  <c r="K47" i="11" s="1"/>
  <c r="K52" i="11" s="1"/>
  <c r="C3" i="12" s="1"/>
  <c r="G7" i="11"/>
  <c r="H5" i="11"/>
  <c r="H7" i="11" l="1"/>
  <c r="I5" i="11"/>
  <c r="G8" i="11"/>
  <c r="G16" i="11"/>
  <c r="G17" i="11" s="1"/>
  <c r="I7" i="11" l="1"/>
  <c r="J5" i="11"/>
  <c r="H8" i="11"/>
  <c r="H16" i="11"/>
  <c r="H17" i="11" s="1"/>
  <c r="J7" i="11" l="1"/>
  <c r="K5" i="11"/>
  <c r="K7" i="11" s="1"/>
  <c r="I8" i="11"/>
  <c r="I16" i="11"/>
  <c r="I17" i="11" s="1"/>
  <c r="K16" i="11" l="1"/>
  <c r="K8" i="11"/>
  <c r="J8" i="11"/>
  <c r="J16" i="11"/>
  <c r="J17" i="11" s="1"/>
  <c r="K17" i="11" l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tc={BE46FBAD-CBE8-40B3-A971-1D7E8744BD50}</author>
    <author>tc={F9EB0FC0-E426-4E6C-AE37-AC7437B82F28}</author>
    <author>tc={2BBD5D5A-D4CE-4C91-B4F5-0DF69CB053ED}</author>
    <author>tc={518B4B05-686F-441A-AFC0-60CF63DB1D0B}</author>
    <author>tc={01B80038-C24D-490D-8708-4AFF03977BDC}</author>
    <author>tc={9AD68D97-0BF0-4FFD-A438-EA1590A6C07F}</author>
    <author>tc={09A660D3-C75D-43A0-B892-0ABECE8B3773}</author>
  </authors>
  <commentList>
    <comment ref="C77" authorId="0" shapeId="0" xr:uid="{BE46FBAD-CBE8-40B3-A971-1D7E8744BD50}">
      <text>
        <t>[Threaded comment]
Your version of Excel allows you to read this threaded comment; however, any edits to it will get removed if the file is opened in a newer version of Excel. Learn more: https://go.microsoft.com/fwlink/?linkid=870924
Comment:
    check note on cells</t>
      </text>
    </comment>
    <comment ref="D77" authorId="1" shapeId="0" xr:uid="{F9EB0FC0-E426-4E6C-AE37-AC7437B82F28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30 , 2024
Time : 4 PM EST ( MARKET CLOSE)</t>
      </text>
    </comment>
    <comment ref="E77" authorId="2" shapeId="0" xr:uid="{2BBD5D5A-D4CE-4C91-B4F5-0DF69CB053ED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25 , 2023
Time : 4 PM EST ( MARKET CLOSE)</t>
      </text>
    </comment>
    <comment ref="F77" authorId="3" shapeId="0" xr:uid="{518B4B05-686F-441A-AFC0-60CF63DB1D0B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26 , 2022
Time : 4 PM EST ( MARKET CLOSE)</t>
      </text>
    </comment>
    <comment ref="G77" authorId="4" shapeId="0" xr:uid="{01B80038-C24D-490D-8708-4AFF03977BDC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26 , 2021
Time : 4 PM EST ( MARKET CLOSE)</t>
      </text>
    </comment>
    <comment ref="H77" authorId="5" shapeId="0" xr:uid="{9AD68D97-0BF0-4FFD-A438-EA1590A6C07F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Dec 28 , 2020
Time : 4 PM EST ( MARKET CLOSE)</t>
      </text>
    </comment>
    <comment ref="D83" authorId="6" shapeId="0" xr:uid="{09A660D3-C75D-43A0-B892-0ABECE8B3773}">
      <text>
        <t>[Threaded comment]
Your version of Excel allows you to read this threaded comment; however, any edits to it will get removed if the file is opened in a newer version of Excel. Learn more: https://go.microsoft.com/fwlink/?linkid=870924
Comment:
    Share price :Yahoo Finance
Date : Nov 9, 2025
Time : 4 PM EST ( MARKET CLOSE)</t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tc={E892FEFD-D16E-4197-BE44-2564D19C2B25}</author>
  </authors>
  <commentList>
    <comment ref="D7" authorId="0" shapeId="0" xr:uid="{E892FEFD-D16E-4197-BE44-2564D19C2B25}">
      <text>
        <t>[Threaded comment]
Your version of Excel allows you to read this threaded comment; however, any edits to it will get removed if the file is opened in a newer version of Excel. Learn more: https://go.microsoft.com/fwlink/?linkid=870924
Comment:
    Income Statement- F22</t>
      </text>
    </comment>
  </commentList>
</comments>
</file>

<file path=xl/sharedStrings.xml><?xml version="1.0" encoding="utf-8"?>
<sst xmlns="http://schemas.openxmlformats.org/spreadsheetml/2006/main" count="852" uniqueCount="528">
  <si>
    <t xml:space="preserve"> Executive Summary</t>
  </si>
  <si>
    <t xml:space="preserve">COMPANY: </t>
  </si>
  <si>
    <t xml:space="preserve">Sterling Infrastructure, Inc. </t>
  </si>
  <si>
    <r>
      <rPr>
        <b/>
        <sz val="11"/>
        <color rgb="FFFF0000"/>
        <rFont val="Times New Roman"/>
      </rPr>
      <t xml:space="preserve">** </t>
    </r>
    <r>
      <rPr>
        <b/>
        <sz val="11"/>
        <color rgb="FF000000"/>
        <rFont val="Times New Roman"/>
      </rPr>
      <t xml:space="preserve">NASDAQ: </t>
    </r>
    <r>
      <rPr>
        <b/>
        <sz val="11"/>
        <color rgb="FF275317"/>
        <rFont val="Times New Roman"/>
      </rPr>
      <t>STRL</t>
    </r>
  </si>
  <si>
    <t xml:space="preserve">SECTOR: </t>
  </si>
  <si>
    <t>Infrastructure</t>
  </si>
  <si>
    <t xml:space="preserve">TEAM: </t>
  </si>
  <si>
    <t>Anuja ,Kalaiiarasi, Prachi, Devadharshini</t>
  </si>
  <si>
    <t xml:space="preserve">RECOMMENDATION: </t>
  </si>
  <si>
    <t xml:space="preserve">NOT BUY </t>
  </si>
  <si>
    <t xml:space="preserve">ANALYSIS DATE </t>
  </si>
  <si>
    <t>Nov. 08.2025</t>
  </si>
  <si>
    <t xml:space="preserve">Investment </t>
  </si>
  <si>
    <t xml:space="preserve">Sterling Infrastructure represents a compelling growth opportunity, positioned at the intersection of massive government infrastructure spending and explosive data center demand. </t>
  </si>
  <si>
    <t>With exceptional financial performance, a rock-solid balance sheet, and record backlog, STRL is ideally positioned for sustained growth and value creation.</t>
  </si>
  <si>
    <t>Key Investment Highlights</t>
  </si>
  <si>
    <t>Exceptional Financial Performance</t>
  </si>
  <si>
    <t xml:space="preserve">85.7% Net Income Growth ($258M) on 7.3% revenue growth </t>
  </si>
  <si>
    <t xml:space="preserve">Operating Cash Flow: $497M demonstrating strong cash generation </t>
  </si>
  <si>
    <t xml:space="preserve">Margin Expansion: Gross margin improved from 17.1% to 20.1% </t>
  </si>
  <si>
    <t>Superior Financial Health</t>
  </si>
  <si>
    <t xml:space="preserve">Liquidity: Current Ratio 1.38 with $664M cash (+40.9%) </t>
  </si>
  <si>
    <t xml:space="preserve">Leverage: Debt-to-Equity improved to 0.38 (from 0.55) </t>
  </si>
  <si>
    <t xml:space="preserve">Equity Growth: Stockholders' equity +32.5% to $826M </t>
  </si>
  <si>
    <t>Strategic Growth Drivers</t>
  </si>
  <si>
    <t xml:space="preserve">Record Backlog: $2.28B (70% convertible within 24 months) </t>
  </si>
  <si>
    <t xml:space="preserve">E-Infrastructure Focus: 22% operating margin in high-growth data centers </t>
  </si>
  <si>
    <t xml:space="preserve">Government Tailwinds: Primary beneficiary of $1.2T IIJA funding </t>
  </si>
  <si>
    <t>Financial Snapshot</t>
  </si>
  <si>
    <t xml:space="preserve">Metric </t>
  </si>
  <si>
    <t>Change</t>
  </si>
  <si>
    <t xml:space="preserve">Revenue </t>
  </si>
  <si>
    <t xml:space="preserve"> $1.97B </t>
  </si>
  <si>
    <t xml:space="preserve"> $2.12B </t>
  </si>
  <si>
    <t xml:space="preserve">Net Income </t>
  </si>
  <si>
    <t xml:space="preserve"> $139M </t>
  </si>
  <si>
    <t xml:space="preserve"> $258M </t>
  </si>
  <si>
    <t xml:space="preserve">Operating Cash Flow </t>
  </si>
  <si>
    <t xml:space="preserve"> $479M</t>
  </si>
  <si>
    <t xml:space="preserve"> $497M </t>
  </si>
  <si>
    <t xml:space="preserve">Current Ratio </t>
  </si>
  <si>
    <t xml:space="preserve">Debt-to-Equity </t>
  </si>
  <si>
    <t>Dividend Policy</t>
  </si>
  <si>
    <r>
      <rPr>
        <sz val="11"/>
        <color rgb="FF000000"/>
        <rFont val="Times New Roman"/>
      </rPr>
      <t xml:space="preserve">The company follows a </t>
    </r>
    <r>
      <rPr>
        <b/>
        <sz val="11"/>
        <color rgb="FF000000"/>
        <rFont val="Times New Roman"/>
      </rPr>
      <t>zero-dividend policy</t>
    </r>
    <r>
      <rPr>
        <sz val="11"/>
        <color rgb="FF000000"/>
        <rFont val="Times New Roman"/>
      </rPr>
      <t xml:space="preserve">.
</t>
    </r>
    <r>
      <rPr>
        <b/>
        <sz val="11"/>
        <color rgb="FF000000"/>
        <rFont val="Times New Roman"/>
      </rPr>
      <t>Strategy:</t>
    </r>
    <r>
      <rPr>
        <sz val="11"/>
        <color rgb="FF000000"/>
        <rFont val="Times New Roman"/>
      </rPr>
      <t xml:space="preserve"> Instead of paying dividends, Sterling Infrastructure reinvests all of its earnings to fund growth, reduce debt, and pursue strategic acquisitions. This is a common strategy for companies in a high-growth phase, focusing on capital appreciation for shareholders rather than providing income.</t>
    </r>
  </si>
  <si>
    <t>Conclusion</t>
  </si>
  <si>
    <t xml:space="preserve">Sterling Infrastructure demonstrates powerful operational leverage, disciplined capital management, and strategic positioning in high-growth infrastructure markets. </t>
  </si>
  <si>
    <t>Financial Statements</t>
  </si>
  <si>
    <t>(audited)</t>
  </si>
  <si>
    <t>CONDENSED CONSOLIDATED STATEMENTS OF OPERATIONS</t>
  </si>
  <si>
    <t>Data in thousands (000's)</t>
  </si>
  <si>
    <t>INCOME STATEMENT DATA</t>
  </si>
  <si>
    <t>(Unaudited)</t>
  </si>
  <si>
    <t>S.no.</t>
  </si>
  <si>
    <t xml:space="preserve">Line Item </t>
  </si>
  <si>
    <t>Three Months Ended Sept 30, 2025</t>
  </si>
  <si>
    <t>Three Months Ended Sept 30, 2024</t>
  </si>
  <si>
    <t>Nine Months Ended Sept 30, 2025</t>
  </si>
  <si>
    <t>Nine Months Ended Sept 30, 2024</t>
  </si>
  <si>
    <t xml:space="preserve">Revenues </t>
  </si>
  <si>
    <t xml:space="preserve">Cost of Revenues </t>
  </si>
  <si>
    <t xml:space="preserve">Gross Profit </t>
  </si>
  <si>
    <t xml:space="preserve">General and Administrative Expense </t>
  </si>
  <si>
    <t xml:space="preserve">Intangible Asset Amortization </t>
  </si>
  <si>
    <t xml:space="preserve">Acquisition Related Costs </t>
  </si>
  <si>
    <t xml:space="preserve">Other Operating Expense, net </t>
  </si>
  <si>
    <t>Earn-out expense</t>
  </si>
  <si>
    <t xml:space="preserve">Operating Income </t>
  </si>
  <si>
    <t xml:space="preserve">Interest Income </t>
  </si>
  <si>
    <t xml:space="preserve">Interest Expense </t>
  </si>
  <si>
    <t xml:space="preserve">Gain on Deconsolidation of Subsidiary, net </t>
  </si>
  <si>
    <t>-</t>
  </si>
  <si>
    <t xml:space="preserve">Income Before Income Taxes </t>
  </si>
  <si>
    <t xml:space="preserve">Income Tax Expense </t>
  </si>
  <si>
    <t xml:space="preserve">Net Income (Including Noncontrolling Interests) </t>
  </si>
  <si>
    <t xml:space="preserve">Less: Net Income Attributable to Noncontrolling Interests </t>
  </si>
  <si>
    <t xml:space="preserve">Net Income from Continuing Operations </t>
  </si>
  <si>
    <t>Net income attributable to Sterling common stockholders</t>
  </si>
  <si>
    <t xml:space="preserve">Earnings Per Share (EPS) - Basic </t>
  </si>
  <si>
    <t xml:space="preserve">Earnings Per Share (EPS) - Diluted </t>
  </si>
  <si>
    <t xml:space="preserve">BALANCE SHEET DATA </t>
  </si>
  <si>
    <t>`</t>
  </si>
  <si>
    <t xml:space="preserve">ASSETS </t>
  </si>
  <si>
    <t xml:space="preserve">Current Assets </t>
  </si>
  <si>
    <t xml:space="preserve">Cash and Cash Equivalents </t>
  </si>
  <si>
    <t xml:space="preserve">Accounts Receivable </t>
  </si>
  <si>
    <t xml:space="preserve">Contract Assets </t>
  </si>
  <si>
    <t xml:space="preserve">Receivables from and Equity in Construction Joint Ventures </t>
  </si>
  <si>
    <t xml:space="preserve">Other Current Assets </t>
  </si>
  <si>
    <t xml:space="preserve">Total Current Assets </t>
  </si>
  <si>
    <t xml:space="preserve">Property &amp; Equipment, net </t>
  </si>
  <si>
    <t xml:space="preserve">Goodwill </t>
  </si>
  <si>
    <t xml:space="preserve">Other Intangibles, net </t>
  </si>
  <si>
    <t xml:space="preserve">Other Non-Current Assets </t>
  </si>
  <si>
    <t xml:space="preserve">Total Assets </t>
  </si>
  <si>
    <t xml:space="preserve">LIABILITIES AND EQUITY </t>
  </si>
  <si>
    <t xml:space="preserve">Current Liabilities </t>
  </si>
  <si>
    <t xml:space="preserve">Accounts Payable </t>
  </si>
  <si>
    <t xml:space="preserve">
$137,593</t>
  </si>
  <si>
    <t xml:space="preserve">Contract Liabilities </t>
  </si>
  <si>
    <t xml:space="preserve">Current Portion of Long-term Debt </t>
  </si>
  <si>
    <t xml:space="preserve">Other Current Liabilities </t>
  </si>
  <si>
    <t xml:space="preserve">$18,972 		</t>
  </si>
  <si>
    <t xml:space="preserve">Total Current Liabilities </t>
  </si>
  <si>
    <t xml:space="preserve">Long-term Debt </t>
  </si>
  <si>
    <t xml:space="preserve">$289,898			</t>
  </si>
  <si>
    <t xml:space="preserve">Total Liabilities </t>
  </si>
  <si>
    <t xml:space="preserve">Total Stockholders' Equity </t>
  </si>
  <si>
    <t xml:space="preserve">Total Liabilities and Equity </t>
  </si>
  <si>
    <t>$952,694 </t>
  </si>
  <si>
    <t xml:space="preserve">CASH FLOW STATEMENT DATA </t>
  </si>
  <si>
    <t>CONDENSED CONSOLIDATED STATEMENTS OF CASH FLOWS</t>
  </si>
  <si>
    <t xml:space="preserve">Net Cash Provided by Operating Activities </t>
  </si>
  <si>
    <t xml:space="preserve">Net Cash Used in Investing Activities </t>
  </si>
  <si>
    <t xml:space="preserve">Capital Expenditures </t>
  </si>
  <si>
    <t xml:space="preserve">Net Cash Used in Financing Activities </t>
  </si>
  <si>
    <t xml:space="preserve">Repayment of Debt </t>
  </si>
  <si>
    <t>Net Increase in Cash</t>
  </si>
  <si>
    <t>Cash at Beginning of Period</t>
  </si>
  <si>
    <t>Cash at End of Period</t>
  </si>
  <si>
    <t>Depreciation and amortization</t>
  </si>
  <si>
    <t xml:space="preserve">$34,201 		</t>
  </si>
  <si>
    <t xml:space="preserve">OTHER KEY METRICS </t>
  </si>
  <si>
    <t xml:space="preserve">Weighted Average Shares Outstanding - Basic </t>
  </si>
  <si>
    <t xml:space="preserve">Weighted Average Shares Outstanding - Diluted </t>
  </si>
  <si>
    <t xml:space="preserve">Market Data (to be updated from Yahoo Finance) </t>
  </si>
  <si>
    <t xml:space="preserve">Current Share Price (as of analysis date) : Dec (2021-2024) </t>
  </si>
  <si>
    <t xml:space="preserve">Segment Data (for context) </t>
  </si>
  <si>
    <t xml:space="preserve">E-Infrastructure Segment Operating Margin </t>
  </si>
  <si>
    <t xml:space="preserve">Transportation Segment Operating Margin </t>
  </si>
  <si>
    <r>
      <rPr>
        <b/>
        <sz val="11"/>
        <color rgb="FFFF0000"/>
        <rFont val="Times New Roman"/>
      </rPr>
      <t>**</t>
    </r>
    <r>
      <rPr>
        <b/>
        <sz val="11"/>
        <color rgb="FF000000"/>
        <rFont val="Times New Roman"/>
      </rPr>
      <t>Note : 2021 shown in data for ratio calculation for 2022</t>
    </r>
  </si>
  <si>
    <r>
      <rPr>
        <b/>
        <sz val="11"/>
        <color rgb="FFFF0000"/>
        <rFont val="Times New Roman"/>
      </rPr>
      <t>**</t>
    </r>
    <r>
      <rPr>
        <b/>
        <sz val="11"/>
        <color rgb="FF000000"/>
        <rFont val="Times New Roman"/>
      </rPr>
      <t>Current Share Price (as of analysis date) : Nov 2025</t>
    </r>
  </si>
  <si>
    <t>Liquidity Ratios</t>
  </si>
  <si>
    <t>2020-2024</t>
  </si>
  <si>
    <t>Purpose: To assess STRL's ability to meet its short-term obligations.</t>
  </si>
  <si>
    <t xml:space="preserve">Ratio </t>
  </si>
  <si>
    <t xml:space="preserve">Formula </t>
  </si>
  <si>
    <t xml:space="preserve">Interpretation (from analysis) </t>
  </si>
  <si>
    <t xml:space="preserve"> </t>
  </si>
  <si>
    <t xml:space="preserve">Current Assets / Current Liabilities </t>
  </si>
  <si>
    <t>The company’s ability to cover short-term liabilities with current assets increased steadily from 2020 (1.12) to 2024 (1.38).</t>
  </si>
  <si>
    <t xml:space="preserve">Quick Ratio </t>
  </si>
  <si>
    <t xml:space="preserve">Cash + Acc. Receivable) / Current Liabilities </t>
  </si>
  <si>
    <t>The Quick Ratio showed a notable improvement, rising from 0.76 in 2020 to 1.23 in 2024, reflecting the company’s better liquidity without relying on inventory sales.</t>
  </si>
  <si>
    <t xml:space="preserve">Cash Ratio </t>
  </si>
  <si>
    <t xml:space="preserve">Cash / Current Liabilities </t>
  </si>
  <si>
    <t>The Cash Ratio improved dramatically, climbing from 0.21 in 2020 to 0.90 in 2024, which suggests a much stronger cash position relative to liabilities.</t>
  </si>
  <si>
    <t>Overall</t>
  </si>
  <si>
    <t xml:space="preserve">The company's financial health has progressively improved from 2020 to 2024. </t>
  </si>
  <si>
    <t>The increase in liquidity ratios signals a more stable financial position, with stronger cash reserves and a better capacity to meet short-term liabilities.</t>
  </si>
  <si>
    <t>This puts the company in a favorable position moving forward, with minimized financial risk and a solid base for continued stability.</t>
  </si>
  <si>
    <t>Leverage (Solvency) Ratios</t>
  </si>
  <si>
    <t>Purpose: To evaluate the company's financial structure and its ability to meet long-term debts.</t>
  </si>
  <si>
    <t>2025 - Till September</t>
  </si>
  <si>
    <t>Interpretation</t>
  </si>
  <si>
    <t xml:space="preserve">Total liabilities / Total stockholder's Equity </t>
  </si>
  <si>
    <t>Over a five-year period, the leverage ratios are decreasing as the year progresses which is good sign that indicates that the co. is reducing its reliance on debt and strengthening equity financing.</t>
  </si>
  <si>
    <t xml:space="preserve">Debt-to-Assets </t>
  </si>
  <si>
    <t xml:space="preserve">Total liabilities / Total Assets </t>
  </si>
  <si>
    <t xml:space="preserve">Equity Ratio </t>
  </si>
  <si>
    <t xml:space="preserve">Total stockholder's Equity / Total Assets </t>
  </si>
  <si>
    <t xml:space="preserve">Interpretation </t>
  </si>
  <si>
    <t>A clear drop over 3-yr period had been seen in the leverage ratio which indicates that co. is reducing its reliance on debt.</t>
  </si>
  <si>
    <t>The overall decrease over years shows a smaller portion of the company’s assets is financed by debt, indicating a healthier balance sheet and less vulnerability to interest rate shifts or financial distress</t>
  </si>
  <si>
    <t xml:space="preserve">The increase reveals the company’s asset base is increasingly financed through equity, and it has strengthened its capital position. </t>
  </si>
  <si>
    <t xml:space="preserve">Note : Total debt = </t>
  </si>
  <si>
    <t xml:space="preserve">Current Portion of Long-term Debt + Long-term Debt </t>
  </si>
  <si>
    <t>Years</t>
  </si>
  <si>
    <t>Debt-to-Assets</t>
  </si>
  <si>
    <t>Equity Ratio</t>
  </si>
  <si>
    <t xml:space="preserve">
EBITDA Calculation ($ in thousands)</t>
  </si>
  <si>
    <t>ITEMS</t>
  </si>
  <si>
    <t xml:space="preserve">Operating Income   </t>
  </si>
  <si>
    <r>
      <rPr>
        <sz val="11"/>
        <color rgb="FF000000"/>
        <rFont val="Times New Roman"/>
      </rPr>
      <t>Depreciation &amp; Amortization</t>
    </r>
    <r>
      <rPr>
        <sz val="8"/>
        <color rgb="FF000000"/>
        <rFont val="Times New Roman"/>
      </rPr>
      <t xml:space="preserve">          </t>
    </r>
  </si>
  <si>
    <t xml:space="preserve"> EBITDA</t>
  </si>
  <si>
    <t xml:space="preserve">Efficiency (Activity) Ratios </t>
  </si>
  <si>
    <t xml:space="preserve">Purpose: To measure how effectively the company utilizes its assets and manages its operations. </t>
  </si>
  <si>
    <t xml:space="preserve">Note: "Average" values (e.g., (2023 Value + 2024 Value)/2). Sales data is from the Income Statement. </t>
  </si>
  <si>
    <t>2023-2024</t>
  </si>
  <si>
    <t xml:space="preserve">Asset Turnover </t>
  </si>
  <si>
    <t xml:space="preserve">Sales / Average Total Assets </t>
  </si>
  <si>
    <t>High, Products are in high demand and the company manages its stock expertly, minimizing wasted capital.</t>
  </si>
  <si>
    <t xml:space="preserve">Receivables Turnover </t>
  </si>
  <si>
    <t xml:space="preserve">Credit Sales / Average Acc. Receivable </t>
  </si>
  <si>
    <t>High. The company collects receivables every 43 days, indicating excellent collection efficiency.</t>
  </si>
  <si>
    <t xml:space="preserve">Accounts Payable Turnover </t>
  </si>
  <si>
    <t xml:space="preserve">Supplier Purchases / Average Acc. Payable </t>
  </si>
  <si>
    <t>Moderate. The company pays suppliers every 30 days, showing balanced payment terms.</t>
  </si>
  <si>
    <t>Note :</t>
  </si>
  <si>
    <t xml:space="preserve"> Average total assets =</t>
  </si>
  <si>
    <r>
      <rPr>
        <sz val="11"/>
        <color rgb="FF000000"/>
        <rFont val="Times New Roman"/>
      </rPr>
      <t>(Begining Total Assets</t>
    </r>
    <r>
      <rPr>
        <b/>
        <sz val="11"/>
        <color rgb="FF000000"/>
        <rFont val="Times New Roman"/>
      </rPr>
      <t xml:space="preserve"> "2023"</t>
    </r>
    <r>
      <rPr>
        <sz val="11"/>
        <color rgb="FF000000"/>
        <rFont val="Times New Roman"/>
      </rPr>
      <t>+ Ending Total Assets"</t>
    </r>
    <r>
      <rPr>
        <b/>
        <sz val="11"/>
        <color rgb="FF000000"/>
        <rFont val="Times New Roman"/>
      </rPr>
      <t>2024</t>
    </r>
    <r>
      <rPr>
        <sz val="11"/>
        <color rgb="FF000000"/>
        <rFont val="Times New Roman"/>
      </rPr>
      <t>")/2</t>
    </r>
  </si>
  <si>
    <t>Average Acc. Receivable=</t>
  </si>
  <si>
    <t>(Begining Acc. Rec "2023"+ Ending  Acc. Rec "2024")/2</t>
  </si>
  <si>
    <t>Average Acc. Payable=</t>
  </si>
  <si>
    <t>(Begining Acc. Payable"2023"+ Ending  Acc. Payable "2024")/2</t>
  </si>
  <si>
    <t>(Use for tab Profitabilty Ratio)</t>
  </si>
  <si>
    <t xml:space="preserve"> Average Shareholder Equity =</t>
  </si>
  <si>
    <t>(Begining Shareholder Equity"2023"+ Ending Shareholder Equity "2024")/2</t>
  </si>
  <si>
    <t xml:space="preserve">Credit Sales = Revenue </t>
  </si>
  <si>
    <t>1. Credit sales not available, total revenue used instead.  company like Sterling Infra (B2B) does sales on credit and minimum usage of cash.</t>
  </si>
  <si>
    <t>2. Standard accounting practice when credit sales not available , may understate ratio ( conservative approach)</t>
  </si>
  <si>
    <t xml:space="preserve">Supplier Purchase= </t>
  </si>
  <si>
    <t>Cost of revenue - Other direct costs</t>
  </si>
  <si>
    <t>The company is excellent at using its assets to generate sales and managing its working capital.</t>
  </si>
  <si>
    <t>2022-2023</t>
  </si>
  <si>
    <t>Strong performance, remains efficient despite slight decrease from 2022.</t>
  </si>
  <si>
    <t>Maintaining excellent collection efficiency.</t>
  </si>
  <si>
    <t>Showing consistent and disciplined working capital management.</t>
  </si>
  <si>
    <r>
      <rPr>
        <sz val="11"/>
        <color rgb="FF000000"/>
        <rFont val="Times New Roman"/>
      </rPr>
      <t xml:space="preserve">(Begining Total Assets </t>
    </r>
    <r>
      <rPr>
        <b/>
        <sz val="11"/>
        <color rgb="FF000000"/>
        <rFont val="Times New Roman"/>
      </rPr>
      <t>"2022"</t>
    </r>
    <r>
      <rPr>
        <sz val="11"/>
        <color rgb="FF000000"/>
        <rFont val="Times New Roman"/>
      </rPr>
      <t>+ Ending Total Assets"</t>
    </r>
    <r>
      <rPr>
        <b/>
        <sz val="11"/>
        <color rgb="FF000000"/>
        <rFont val="Times New Roman"/>
      </rPr>
      <t>2023</t>
    </r>
    <r>
      <rPr>
        <sz val="11"/>
        <color rgb="FF000000"/>
        <rFont val="Times New Roman"/>
      </rPr>
      <t>")/2</t>
    </r>
  </si>
  <si>
    <t>(Begining Acc. Rec "2022"+ Ending  Acc. Rec "2023")/2</t>
  </si>
  <si>
    <t>(Begining Acc. Payable"2022"+ Ending  Acc. Payable "2023")/2</t>
  </si>
  <si>
    <t>(Begining Shareholder Equity"2022"+ Ending Shareholder Equity "2023")/2</t>
  </si>
  <si>
    <t>2021-2022</t>
  </si>
  <si>
    <t> Outstanding revenue generation from assets — $1.32 in sales per $1 of assets, indicating peak operational efficiency.</t>
  </si>
  <si>
    <t>Collected receivables , reflecting a highly efficient credit and collection process.</t>
  </si>
  <si>
    <t>Paid suppliers every , showing skillful cash flow management and strong supplier relationships.</t>
  </si>
  <si>
    <t>*Note :</t>
  </si>
  <si>
    <r>
      <rPr>
        <sz val="11"/>
        <color rgb="FF000000"/>
        <rFont val="Times New Roman"/>
      </rPr>
      <t xml:space="preserve">(Begining Total Assets </t>
    </r>
    <r>
      <rPr>
        <b/>
        <sz val="11"/>
        <color rgb="FF000000"/>
        <rFont val="Times New Roman"/>
      </rPr>
      <t>"2021"</t>
    </r>
    <r>
      <rPr>
        <sz val="11"/>
        <color rgb="FF000000"/>
        <rFont val="Times New Roman"/>
      </rPr>
      <t>+ Ending Total Assets</t>
    </r>
    <r>
      <rPr>
        <b/>
        <sz val="11"/>
        <color rgb="FF000000"/>
        <rFont val="Times New Roman"/>
      </rPr>
      <t>"2022"</t>
    </r>
    <r>
      <rPr>
        <sz val="11"/>
        <color rgb="FF000000"/>
        <rFont val="Times New Roman"/>
      </rPr>
      <t>)/2</t>
    </r>
  </si>
  <si>
    <t>(Begining Acc. Rec "2021"+ Ending  Acc. Rec "2022")/2</t>
  </si>
  <si>
    <t>(Begining Acc. Payable"2021"+ Ending  Acc. Payable "2022")/2</t>
  </si>
  <si>
    <t>(Begining Shareholder Equity"2021"+ Ending Shareholder Equity "2022")/2</t>
  </si>
  <si>
    <t>2020-2021</t>
  </si>
  <si>
    <t>Excellent efficiency - Generated $1.30 in sales for every $1 of assets, indicating strong utilization of the company's asset base.</t>
  </si>
  <si>
    <t>Good collection efficiency - Collected receivables every 53 days (365/6.91), showing reasonable credit management and customer quality.</t>
  </si>
  <si>
    <t xml:space="preserve">Moderate payment terms - Paid suppliers every 36 days (365/10.08), balancing cash flow preservation with supplier relationships.
</t>
  </si>
  <si>
    <r>
      <rPr>
        <sz val="11"/>
        <color rgb="FF000000"/>
        <rFont val="Times New Roman"/>
      </rPr>
      <t xml:space="preserve">(Begining Total Assets </t>
    </r>
    <r>
      <rPr>
        <b/>
        <sz val="11"/>
        <color rgb="FF000000"/>
        <rFont val="Times New Roman"/>
      </rPr>
      <t>"2020"</t>
    </r>
    <r>
      <rPr>
        <sz val="11"/>
        <color rgb="FF000000"/>
        <rFont val="Times New Roman"/>
      </rPr>
      <t>+ Ending Total Assets</t>
    </r>
    <r>
      <rPr>
        <b/>
        <sz val="11"/>
        <color rgb="FF000000"/>
        <rFont val="Times New Roman"/>
      </rPr>
      <t>"2021"</t>
    </r>
    <r>
      <rPr>
        <sz val="11"/>
        <color rgb="FF000000"/>
        <rFont val="Times New Roman"/>
      </rPr>
      <t>)/2</t>
    </r>
  </si>
  <si>
    <t>(Begining Acc. Rec "2020"+ Ending  Acc. Rec "2021")/2</t>
  </si>
  <si>
    <t>(Begining Acc. Payable"2020"+ Ending  Acc. Payable "2021")/2</t>
  </si>
  <si>
    <t>(Begining Shareholder Equity"2020"+ Ending Shareholder Equity "2021")/2</t>
  </si>
  <si>
    <t>2019-2020</t>
  </si>
  <si>
    <r>
      <rPr>
        <sz val="11"/>
        <color rgb="FF000000"/>
        <rFont val="Times New Roman"/>
      </rPr>
      <t xml:space="preserve">(Begining Total Assets </t>
    </r>
    <r>
      <rPr>
        <b/>
        <sz val="11"/>
        <color rgb="FF000000"/>
        <rFont val="Times New Roman"/>
      </rPr>
      <t>"2019"</t>
    </r>
    <r>
      <rPr>
        <sz val="11"/>
        <color rgb="FF000000"/>
        <rFont val="Times New Roman"/>
      </rPr>
      <t>+ Ending Total Assets</t>
    </r>
    <r>
      <rPr>
        <b/>
        <sz val="11"/>
        <color rgb="FF000000"/>
        <rFont val="Times New Roman"/>
      </rPr>
      <t>"2020"</t>
    </r>
    <r>
      <rPr>
        <sz val="11"/>
        <color rgb="FF000000"/>
        <rFont val="Times New Roman"/>
      </rPr>
      <t>)/2</t>
    </r>
  </si>
  <si>
    <t>(Begining Acc. Rec "2019"+ Ending  Acc. Rec "2020")/2</t>
  </si>
  <si>
    <t>(Begining Acc. Payable"2019"+ Ending  Acc. Payable "2020")/2.      (137,593+95,201​/2)</t>
  </si>
  <si>
    <t>(Begining Shareholder Equity"2019"+ Ending Shareholder Equity "2020")/2</t>
  </si>
  <si>
    <t xml:space="preserve">Profitability Ratios </t>
  </si>
  <si>
    <t>2024-2020</t>
  </si>
  <si>
    <t xml:space="preserve">Purpose: To assess the company's ability to generate earnings relative to sales, assets, and equity. </t>
  </si>
  <si>
    <t>Ratio : Gross Profit Margin, Operating Profit Margin and Net Profit Margin</t>
  </si>
  <si>
    <t xml:space="preserve">Gross Profit Margin </t>
  </si>
  <si>
    <t xml:space="preserve">Gross Profit / Sales </t>
  </si>
  <si>
    <t xml:space="preserve">Improved, indicating better control over production costs and stronger pricing power. For 2022,Indicates moderate profitability, suggesting limited control over production or input costs.	</t>
  </si>
  <si>
    <t xml:space="preserve">Operating Profit Margin </t>
  </si>
  <si>
    <t xml:space="preserve">Operating Income / Sales </t>
  </si>
  <si>
    <t xml:space="preserve">Increased, showing enhanced efficiency in managing operating expenses. For 2022,Shows modest operational efficiency with room to reduce operating expenses.	</t>
  </si>
  <si>
    <t xml:space="preserve">Net Profit Margin </t>
  </si>
  <si>
    <t xml:space="preserve">Net Income / Sales </t>
  </si>
  <si>
    <t xml:space="preserve">Strengthened, reflecting higher overall profitability and effective cost management. For 2022, Reflects low overall profitability, implying higher costs or lower revenue retention after all expenses.	</t>
  </si>
  <si>
    <t>Ratio : Return of Assets and Return on Equity</t>
  </si>
  <si>
    <t xml:space="preserve">Ratio  </t>
  </si>
  <si>
    <t xml:space="preserve">Return on Assets (ROA) </t>
  </si>
  <si>
    <t xml:space="preserve">Net Income / Average Total Assets </t>
  </si>
  <si>
    <t xml:space="preserve">Asset utilization was more effective and maximized profit </t>
  </si>
  <si>
    <t xml:space="preserve">Return on Equity (ROE) </t>
  </si>
  <si>
    <t xml:space="preserve">Net Income / Average Shareholders' Equity </t>
  </si>
  <si>
    <t>Achieved highest return compared to other years. Shareholders gained more valye and this reflects strong performance and financial health.</t>
  </si>
  <si>
    <t>Made better use of assets, reflecting higher productivity and profitability</t>
  </si>
  <si>
    <t xml:space="preserve">The return to shareholders rose further, showing strong profit growth. </t>
  </si>
  <si>
    <t>There is a improvement in asset efficiency, Better usage of resource and indicates strong operational control.</t>
  </si>
  <si>
    <t>Increase in profitability for shareholders. Managed equity more efficiently than 2021.</t>
  </si>
  <si>
    <t>Moderate improvement in asset utilization. The company used its asset base more efficiently than in 2020, reflecting stronger operational execution and better cost management.</t>
  </si>
  <si>
    <t>Shareholder returns increased, showing improved profitability. Equity was deployed more effectively, indicating rising earnings power and stronger financial performance.</t>
  </si>
  <si>
    <t>Asset efficiency was modest. The company generated moderate profit from its assets, reflecting cautious operations during a challenging economic year.</t>
  </si>
  <si>
    <t>Shareholders earned solid returns, indicating effective use of equity capital. Despite external challenges, the company maintained respectable profitability and stable financial management.</t>
  </si>
  <si>
    <t xml:space="preserve">Market Value Ratios </t>
  </si>
  <si>
    <t xml:space="preserve">Purpose: To gauge the market's perception of the company's future prospects and valuation. </t>
  </si>
  <si>
    <t xml:space="preserve">Calculation </t>
  </si>
  <si>
    <t xml:space="preserve">Given </t>
  </si>
  <si>
    <t xml:space="preserve">The P/E ratio expanded significantly to 21.26, indicating that investors were willing to pay over $21 for every $1 of earnings. </t>
  </si>
  <si>
    <t xml:space="preserve">Price-to-Earnings (P/E) Ratio </t>
  </si>
  <si>
    <t xml:space="preserve"> Share Price / EPS </t>
  </si>
  <si>
    <t xml:space="preserve">$177.51/ $8.35 </t>
  </si>
  <si>
    <t xml:space="preserve">Dividend Payout Ratio </t>
  </si>
  <si>
    <t>Total Dividends / Net Income</t>
  </si>
  <si>
    <t xml:space="preserve"> $0 / $257,461,000 </t>
  </si>
  <si>
    <t xml:space="preserve">Dividend Yield </t>
  </si>
  <si>
    <t xml:space="preserve">Dividend per Share / Share Price </t>
  </si>
  <si>
    <t>$0 / $177.51</t>
  </si>
  <si>
    <r>
      <rPr>
        <sz val="11"/>
        <color rgb="FFFF0000"/>
        <rFont val="Times New Roman"/>
      </rPr>
      <t>*</t>
    </r>
    <r>
      <rPr>
        <sz val="11"/>
        <color rgb="FF000000"/>
        <rFont val="Times New Roman"/>
      </rPr>
      <t>Share price : Dec 2024 ( refer data input tab)</t>
    </r>
  </si>
  <si>
    <t>The P/E ratio of 19.50 shows a healthy level of investor confidence, a substantial increase from the previous year.</t>
  </si>
  <si>
    <t>$87.93/$4.51</t>
  </si>
  <si>
    <t>0/$138,655</t>
  </si>
  <si>
    <t>0/$87.93</t>
  </si>
  <si>
    <t>Given</t>
  </si>
  <si>
    <t xml:space="preserve">A P/E ratio of 10.25 suggests the market had a more conservative valuation of the company. </t>
  </si>
  <si>
    <t>$32.80/$3.20</t>
  </si>
  <si>
    <t>0/$96,717</t>
  </si>
  <si>
    <t>0/$32.80</t>
  </si>
  <si>
    <t>The P/E ratio increased to 12.23, reflecting a slightly more optimistic market valuation compared to 2020, potentially due to improving earnings. The company maintained its zero-dividend policy, continuing to reinvest all profits back into the business.</t>
  </si>
  <si>
    <t>$26.3/$2.15</t>
  </si>
  <si>
    <t>0/$61,457</t>
  </si>
  <si>
    <t>0/$26.3</t>
  </si>
  <si>
    <t>The P/E ratio of 12.01 indicates a moderate market valuation. The company's consistent zero-dividend payout across all three years confirms a strategic focus on using retained earnings to fund growth and operations rather than providing shareholder income.</t>
  </si>
  <si>
    <t>$18.61/$1.55</t>
  </si>
  <si>
    <t xml:space="preserve">0/$43,123 </t>
  </si>
  <si>
    <t>0/$18.61</t>
  </si>
  <si>
    <t>Altman Z score + Dupont Analysis</t>
  </si>
  <si>
    <t>Altman Z score</t>
  </si>
  <si>
    <t>Formula</t>
  </si>
  <si>
    <t>Z=1.2*X1​+1.4*X2​+3.3*X3​+0.6*X4​+1.0*X5​</t>
  </si>
  <si>
    <t>Indicates low risk of bankruptcy and strong financial stability</t>
  </si>
  <si>
    <t>Notes</t>
  </si>
  <si>
    <t>Variable</t>
  </si>
  <si>
    <t>Meaning</t>
  </si>
  <si>
    <t>X1</t>
  </si>
  <si>
    <t>Working Capital / Total Assets</t>
  </si>
  <si>
    <t>Measures liquidity</t>
  </si>
  <si>
    <t>X2</t>
  </si>
  <si>
    <t>Retained Earnings / Total Assets</t>
  </si>
  <si>
    <t>Measures profitability over time</t>
  </si>
  <si>
    <t>X3</t>
  </si>
  <si>
    <t>EBIT / Total Assets</t>
  </si>
  <si>
    <t>Measures operating efficiency</t>
  </si>
  <si>
    <t>X4</t>
  </si>
  <si>
    <t>Market Value of Equity / Total Liabilities</t>
  </si>
  <si>
    <t>Measures leverage or solvency</t>
  </si>
  <si>
    <t>X5</t>
  </si>
  <si>
    <t>Sales / Total Assets</t>
  </si>
  <si>
    <t>Measures asset turnover (efficiency)</t>
  </si>
  <si>
    <t>Dupont Analysis</t>
  </si>
  <si>
    <t>3 STEP MODEL</t>
  </si>
  <si>
    <t>Net Profit Margin(NPM)= Net income/ revenue</t>
  </si>
  <si>
    <t xml:space="preserve">Asset Turnover(AT)= Revenue/Total Assets </t>
  </si>
  <si>
    <t>Equity Multiplier(EM)= Total Assets/Equity</t>
  </si>
  <si>
    <t>ROE= NPM*AT*EM</t>
  </si>
  <si>
    <t>5 STEP MODEL</t>
  </si>
  <si>
    <t>Tax burden= Net Income/ EBT</t>
  </si>
  <si>
    <t>Interest Burden=EBT/EBIT</t>
  </si>
  <si>
    <t>EBIT Margin= EBIT/Revenue</t>
  </si>
  <si>
    <t>ROE</t>
  </si>
  <si>
    <t>YEAR</t>
  </si>
  <si>
    <t>ROE indicates the company delivered strong profitability relative to the equity invested by shareholders.</t>
  </si>
  <si>
    <t>ROE reflects a slight improvement in how efficiently the company used shareholder equity to generate profits.</t>
  </si>
  <si>
    <t>ROE mainly driven by high leverage. Profit margins were low, so the company relied more on debt to generate returns.</t>
  </si>
  <si>
    <t>ROE grew due to high operating profitability with moderate efficiency and leverage. Interest cost impact reduced, helping net profit.</t>
  </si>
  <si>
    <t>ROE surged mainly because of higher profitability, boosted by one-time gains. Leverage decreased but efficiency remained stable. Taxes and interesr had smaller relative impact</t>
  </si>
  <si>
    <t>Trend</t>
  </si>
  <si>
    <t>Current Ratio</t>
  </si>
  <si>
    <t xml:space="preserve"> Improving</t>
  </si>
  <si>
    <t>Quick Ratio</t>
  </si>
  <si>
    <t>Strong improvement</t>
  </si>
  <si>
    <t>Cash Ratio</t>
  </si>
  <si>
    <t>Excellent</t>
  </si>
  <si>
    <t>Debt-to-Equity*</t>
  </si>
  <si>
    <t>Decreasing (Positive)</t>
  </si>
  <si>
    <t>Debt-to-Assets*</t>
  </si>
  <si>
    <t>Decreasing</t>
  </si>
  <si>
    <t>Equity Ratio*</t>
  </si>
  <si>
    <t>Increasing</t>
  </si>
  <si>
    <t> Efficiency (Activity) Ratios</t>
  </si>
  <si>
    <t>Asset Turnover</t>
  </si>
  <si>
    <t>High asset utilization</t>
  </si>
  <si>
    <t>Receivables Turnover</t>
  </si>
  <si>
    <t>Excellent collection efficiency</t>
  </si>
  <si>
    <t>Accounts Payable Turnover</t>
  </si>
  <si>
    <t>Moderate payment terms</t>
  </si>
  <si>
    <t>Profitability Ratios</t>
  </si>
  <si>
    <t>Gross Profit Margin</t>
  </si>
  <si>
    <t>Operating Profit Margin</t>
  </si>
  <si>
    <t>Improving efficiency</t>
  </si>
  <si>
    <t>Net Profit Margin</t>
  </si>
  <si>
    <t>Exceptional growth</t>
  </si>
  <si>
    <t>Return on Assets (ROA)</t>
  </si>
  <si>
    <t>Outstanding</t>
  </si>
  <si>
    <t>Return on Equity (ROE)</t>
  </si>
  <si>
    <t xml:space="preserve"> Excellent</t>
  </si>
  <si>
    <t> Market Value Ratios</t>
  </si>
  <si>
    <t>EPS - Basic</t>
  </si>
  <si>
    <t xml:space="preserve"> Strong growth</t>
  </si>
  <si>
    <t>P/E Ratio</t>
  </si>
  <si>
    <t>Increasing valuation</t>
  </si>
  <si>
    <t>Dividend Payout Ratio</t>
  </si>
  <si>
    <t>Zero dividend policy</t>
  </si>
  <si>
    <t>Dividend Yield</t>
  </si>
  <si>
    <t>Reinvestment strategy</t>
  </si>
  <si>
    <t>Advanced Analysis</t>
  </si>
  <si>
    <t>Altman Z-Score</t>
  </si>
  <si>
    <t>Low bankruptcy risk</t>
  </si>
  <si>
    <t>EBITDA ($k)</t>
  </si>
  <si>
    <t>ROE (DuPont)</t>
  </si>
  <si>
    <t>Improving returns</t>
  </si>
  <si>
    <t xml:space="preserve"> Key Ratios </t>
  </si>
  <si>
    <t>Debt-to-Equity</t>
  </si>
  <si>
    <t>Gross Margin</t>
  </si>
  <si>
    <t>+3.0pp</t>
  </si>
  <si>
    <t>Operating Cash Flow</t>
  </si>
  <si>
    <t>$479M</t>
  </si>
  <si>
    <t>$497M</t>
  </si>
  <si>
    <t>Solvency ratios</t>
  </si>
  <si>
    <t>DCF Valuation</t>
  </si>
  <si>
    <t>2025E</t>
  </si>
  <si>
    <t>2026E</t>
  </si>
  <si>
    <t>2027E</t>
  </si>
  <si>
    <t>2028E</t>
  </si>
  <si>
    <t>2029E</t>
  </si>
  <si>
    <t>Assumption 1: Sterling’s revenue is expected to grow 10% each year due to strong E-Infrastructure demand and federal infrastructure spending.</t>
  </si>
  <si>
    <t>Depreciation and Amortization</t>
  </si>
  <si>
    <t>EBITDA</t>
  </si>
  <si>
    <t>Assumption 2: Depreciation grows 10% annually, consistent with Sterling’s increasing CAPEX requirements for equipment and infrastructure.</t>
  </si>
  <si>
    <t>Assumption 3: Interest expense declines 2% per year, reflecting decreasing leverage and improving credit position.</t>
  </si>
  <si>
    <t xml:space="preserve">Tax Rate </t>
  </si>
  <si>
    <t>Assumption 4: Tax rate gradually converges toward 28.5%, with yearly adjustments of ±1%, based on historical stability.</t>
  </si>
  <si>
    <t>Interest (1-t)</t>
  </si>
  <si>
    <t>Current Assets</t>
  </si>
  <si>
    <t>Current Liabilities</t>
  </si>
  <si>
    <t>Working Capital</t>
  </si>
  <si>
    <t>Assumption 5: Working capital changes by ±2%, reflecting an unpredictable but modest operating cycle, consistent with historical volatility.</t>
  </si>
  <si>
    <t>Change in Working Capital</t>
  </si>
  <si>
    <t>CAPEX</t>
  </si>
  <si>
    <t>Assumption 6: CAPEX increases 10% annually, aligned with Sterling’s growth strategy and equipment-intensive operations.</t>
  </si>
  <si>
    <t>FCF=NI+DA+Interest(1-t)-increase in WC-Capex</t>
  </si>
  <si>
    <t>FCFF</t>
  </si>
  <si>
    <t>CAPM: </t>
  </si>
  <si>
    <t>=risk-free + Beta * (Equity Risk Premium)</t>
  </si>
  <si>
    <t> </t>
  </si>
  <si>
    <t>Barrons</t>
  </si>
  <si>
    <t>Yahoo.Finance</t>
  </si>
  <si>
    <t>(Most recent)</t>
  </si>
  <si>
    <t>Risk-free</t>
  </si>
  <si>
    <t>https://www.investing.com/rates-bonds/u.s.-10-year-bond-yield-historical-data</t>
  </si>
  <si>
    <t>Beta</t>
  </si>
  <si>
    <t>https://www.barrons.com/market-data/stocks/strl?mod=quotes_search</t>
  </si>
  <si>
    <t>https://finance.yahoo.com/quote/STRL/</t>
  </si>
  <si>
    <t>Equity Risk Premium </t>
  </si>
  <si>
    <t>https://pages.stern.nyu.edu/~adamodar/New_Home_Page/datafile/ctryprem.html</t>
  </si>
  <si>
    <t>WACC:</t>
  </si>
  <si>
    <t>=D*(1-t)*rd/(E+D)+E*re/(E+D)</t>
  </si>
  <si>
    <t>Debt (D)</t>
  </si>
  <si>
    <t>(Long term debt+current maturity of long term debt)</t>
  </si>
  <si>
    <t>Tax rate (t) effective</t>
  </si>
  <si>
    <t>Cost of debt (rd)</t>
  </si>
  <si>
    <t>Equity (E)</t>
  </si>
  <si>
    <t>(Sterling's stockholder's equity)</t>
  </si>
  <si>
    <t>Cost of equity (re)=CAPM</t>
  </si>
  <si>
    <t>**</t>
  </si>
  <si>
    <t>Total interest bearing debt</t>
  </si>
  <si>
    <t>Interest expense</t>
  </si>
  <si>
    <t>2025 unaudited data figures estimation</t>
  </si>
  <si>
    <t>https://www.sec.gov/ix?doc=/Archives/edgar/data/874238/000087423825000136/strl-20250930.htm#i31862837a4e34d98ad720a16217e8575_16</t>
  </si>
  <si>
    <t>The business must earn at least 9.29% on new investments or projects to satisfy both lenders and shareholders, covering the cost of all forms of capital.</t>
  </si>
  <si>
    <t xml:space="preserve"> Only projects or investments generating returns greater than 9.25% truly add value to the firm; anything less may destroy value.</t>
  </si>
  <si>
    <t>A WACC of 9.25% reflects the company’s overall risk and market environment.  In construction and infrastructure, WACC between 8–10% is typical for healthy, established firms.</t>
  </si>
  <si>
    <t xml:space="preserve"> Used as the discount rate in DCF models. Cash flows discounted at 9.25% measure the present value of future operating profits.</t>
  </si>
  <si>
    <t>The effective tax rate is the actual percentage of a company’s pre-tax income that is paid as income tax.</t>
  </si>
  <si>
    <t xml:space="preserve">g </t>
  </si>
  <si>
    <t>TV</t>
  </si>
  <si>
    <r>
      <rPr>
        <sz val="11"/>
        <color rgb="FF000000"/>
        <rFont val="Aptos Narrow"/>
      </rPr>
      <t>The Terminal Value of 7,402.329.65</t>
    </r>
    <r>
      <rPr>
        <b/>
        <sz val="11"/>
        <color rgb="FF000000"/>
        <rFont val="Aptos Narrow"/>
      </rPr>
      <t xml:space="preserve"> </t>
    </r>
    <r>
      <rPr>
        <sz val="11"/>
        <color rgb="FF000000"/>
        <rFont val="Aptos Narrow"/>
      </rPr>
      <t>represents the present value of all cash flows beyond the forecast period, assuming a stable 3% growth. It reflects the long-term value of the company and forms a significant part of the total enterprise value.</t>
    </r>
  </si>
  <si>
    <t>Date</t>
  </si>
  <si>
    <t>Price</t>
  </si>
  <si>
    <t>Open</t>
  </si>
  <si>
    <t>High</t>
  </si>
  <si>
    <t>Low</t>
  </si>
  <si>
    <t>Change %</t>
  </si>
  <si>
    <t>FCCF and Terminal Value Inputs</t>
  </si>
  <si>
    <t>Terminal Value</t>
  </si>
  <si>
    <t>Discounting TV to PV</t>
  </si>
  <si>
    <t>Discounting FCFF for 2025-2029</t>
  </si>
  <si>
    <t>Sum for Enterprise Value</t>
  </si>
  <si>
    <t>Adjusting for Net Debt</t>
  </si>
  <si>
    <t>Intrinsic Value</t>
  </si>
  <si>
    <t>FCFF 2029</t>
  </si>
  <si>
    <t>PV(TV)</t>
  </si>
  <si>
    <t>(Year 5 is 2029)</t>
  </si>
  <si>
    <t>Sum of PV (FCFF)+ PV(TV)</t>
  </si>
  <si>
    <t>Total debt(2024)</t>
  </si>
  <si>
    <t>per share value</t>
  </si>
  <si>
    <t>WACC</t>
  </si>
  <si>
    <t>Cash (2024)</t>
  </si>
  <si>
    <t>Perpetual growth</t>
  </si>
  <si>
    <t>PV</t>
  </si>
  <si>
    <t>Net cash</t>
  </si>
  <si>
    <t>Shares O/s (2024)</t>
  </si>
  <si>
    <t>Current STRL price</t>
  </si>
  <si>
    <t>Equity Value</t>
  </si>
  <si>
    <t>Total</t>
  </si>
  <si>
    <t>Company</t>
  </si>
  <si>
    <t>Market Cap</t>
  </si>
  <si>
    <t>Enterprise Value (EV)</t>
  </si>
  <si>
    <t>Revenue</t>
  </si>
  <si>
    <t>EPS</t>
  </si>
  <si>
    <t>EV/EBITDA</t>
  </si>
  <si>
    <t>P/E</t>
  </si>
  <si>
    <t>Size</t>
  </si>
  <si>
    <t>Stock price</t>
  </si>
  <si>
    <t xml:space="preserve">STRL </t>
  </si>
  <si>
    <t>9.93B</t>
  </si>
  <si>
    <t>Mid- cap</t>
  </si>
  <si>
    <t>FLUOR CORP</t>
  </si>
  <si>
    <t>6.83B</t>
  </si>
  <si>
    <t>5.12B</t>
  </si>
  <si>
    <t>PRIMORIS SERVICES CORP</t>
  </si>
  <si>
    <t>6.67B</t>
  </si>
  <si>
    <t>7.20B</t>
  </si>
  <si>
    <t>BADGER INFRASTRUCTURE SOLUTIONS</t>
  </si>
  <si>
    <t>1.76B</t>
  </si>
  <si>
    <t>2.01B</t>
  </si>
  <si>
    <t>Small- cap</t>
  </si>
  <si>
    <t>DYCOM INDUSTRIES INC</t>
  </si>
  <si>
    <t>10.14B</t>
  </si>
  <si>
    <t>11.09B</t>
  </si>
  <si>
    <t xml:space="preserve">GRANITE CONSTRUCTIONS INC </t>
  </si>
  <si>
    <t>4.65B</t>
  </si>
  <si>
    <t>5.55B</t>
  </si>
  <si>
    <t>MYR GROUP INC/DELAWARE</t>
  </si>
  <si>
    <t>3.37B</t>
  </si>
  <si>
    <t>3.41B</t>
  </si>
  <si>
    <t>Small/Mid- cap</t>
  </si>
  <si>
    <t>MEDIAN (EV/EBITDA)</t>
  </si>
  <si>
    <t>MEDIAN (PE)</t>
  </si>
  <si>
    <t xml:space="preserve">EBITDA OF STRL </t>
  </si>
  <si>
    <t xml:space="preserve">IMPLIED EV </t>
  </si>
  <si>
    <t>IMPLIED PRICE - EV/EBITDA</t>
  </si>
  <si>
    <t>IMPLIED SHARE PRICE - P/E</t>
  </si>
  <si>
    <t xml:space="preserve">RELATIVE FAIR VALUE </t>
  </si>
  <si>
    <t>FINAL FAIR VALUE</t>
  </si>
  <si>
    <t>Value</t>
  </si>
  <si>
    <t>Weightage given</t>
  </si>
  <si>
    <t xml:space="preserve">Justification </t>
  </si>
  <si>
    <t>Value derived from DCF</t>
  </si>
  <si>
    <t xml:space="preserve">We assign a 60% weight to DCF valuation because Sterling Infrastructure’s future cash flows and margins are stable, sector growth is well-established, and our projections are built on detailed, audited financials. </t>
  </si>
  <si>
    <t>Value derived from Relative Valuation</t>
  </si>
  <si>
    <t>We assign a 40% weight to comparables because there is a robust set of peer companies trading in public markets, and current multiples provide a market-based anchor for fair value. However, comparables are impacted by sector-wide optimism and may not fully capture Sterling’s specific contract mix or leverage.</t>
  </si>
  <si>
    <t>Therefore, final fair value:</t>
  </si>
  <si>
    <t>IMPORTANT DETAIL</t>
  </si>
  <si>
    <t>You inserted a recommendation that uses a PivotTable.</t>
  </si>
  <si>
    <t>PivotTables work best when the data is organized in columns and have a single header row, so we did that below.</t>
  </si>
  <si>
    <t>Field1</t>
  </si>
  <si>
    <t>Row Labels</t>
  </si>
  <si>
    <t>Sum of 2023</t>
  </si>
  <si>
    <t>Grand Total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</si>
</sst>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6">
    <numFmt numFmtId="5" formatCode="&quot;$&quot;#,##0_);\(&quot;$&quot;#,##0\)"/>
    <numFmt numFmtId="6" formatCode="&quot;$&quot;#,##0_);[Red]\(&quot;$&quot;#,##0\)"/>
    <numFmt numFmtId="8" formatCode="&quot;$&quot;#,##0.00_);[Red]\(&quot;$&quot;#,##0.00\)"/>
    <numFmt numFmtId="164" formatCode="0.0000"/>
    <numFmt numFmtId="165" formatCode="0.0%"/>
    <numFmt numFmtId="166" formatCode="&quot;$&quot;#,##0.00"/>
  </numFmts>
  <fonts count="42">
    <font>
      <sz val="11"/>
      <color theme="1"/>
      <name val="Aptos Narrow"/>
      <family val="2"/>
      <scheme val="minor"/>
    </font>
    <font>
      <sz val="11"/>
      <color theme="1"/>
      <name val="Times New Roman"/>
      <family val="1"/>
    </font>
    <font>
      <b/>
      <sz val="11"/>
      <color theme="1"/>
      <name val="Times New Roman"/>
      <family val="1"/>
    </font>
    <font>
      <b/>
      <u/>
      <sz val="11"/>
      <color theme="1"/>
      <name val="Times New Roman"/>
      <family val="1"/>
    </font>
    <font>
      <sz val="11"/>
      <color rgb="FF242424"/>
      <name val="Times New Roman"/>
      <family val="1"/>
    </font>
    <font>
      <b/>
      <sz val="11"/>
      <color rgb="FF242424"/>
      <name val="Times New Roman"/>
      <family val="1"/>
    </font>
    <font>
      <sz val="11"/>
      <color rgb="FF242424"/>
      <name val="Aptos Narrow"/>
    </font>
    <font>
      <sz val="11"/>
      <color theme="1"/>
      <name val="Times"/>
    </font>
    <font>
      <sz val="10"/>
      <color rgb="FF000000"/>
      <name val="Times New Roman"/>
      <family val="1"/>
    </font>
    <font>
      <sz val="11"/>
      <color rgb="FF000000"/>
      <name val="Times New Roman"/>
    </font>
    <font>
      <b/>
      <sz val="11"/>
      <color rgb="FF000000"/>
      <name val="Times New Roman"/>
    </font>
    <font>
      <b/>
      <sz val="11"/>
      <color theme="9" tint="-0.499984740745262"/>
      <name val="Times New Roman"/>
    </font>
    <font>
      <b/>
      <sz val="11"/>
      <color rgb="FFFF0000"/>
      <name val="Times New Roman"/>
    </font>
    <font>
      <b/>
      <sz val="11"/>
      <color rgb="FF275317"/>
      <name val="Times New Roman"/>
    </font>
    <font>
      <sz val="11"/>
      <color rgb="FF242424"/>
      <name val="Aptos Narrow"/>
      <charset val="1"/>
    </font>
    <font>
      <sz val="11"/>
      <color rgb="FF000000"/>
      <name val="Times New Roman"/>
      <family val="1"/>
    </font>
    <font>
      <b/>
      <sz val="14"/>
      <color rgb="FF000000"/>
      <name val="Times New Roman"/>
      <family val="1"/>
    </font>
    <font>
      <sz val="11"/>
      <color rgb="FFFF0000"/>
      <name val="Times New Roman"/>
    </font>
    <font>
      <sz val="11"/>
      <color theme="1"/>
      <name val="Times New Roman"/>
    </font>
    <font>
      <b/>
      <sz val="11"/>
      <color theme="1"/>
      <name val="Times New Roman"/>
    </font>
    <font>
      <sz val="11"/>
      <color rgb="FF0F1115"/>
      <name val="Times New Roman"/>
    </font>
    <font>
      <b/>
      <sz val="11"/>
      <color theme="6"/>
      <name val="Times New Roman"/>
      <family val="1"/>
    </font>
    <font>
      <sz val="11"/>
      <color rgb="FF000000"/>
      <name val="Aptos Narrow"/>
      <charset val="1"/>
    </font>
    <font>
      <sz val="11"/>
      <color rgb="FF0F1115"/>
      <name val="Quote-Cjk-Patch"/>
      <charset val="1"/>
    </font>
    <font>
      <sz val="8"/>
      <color rgb="FF000000"/>
      <name val="Times New Roman"/>
    </font>
    <font>
      <sz val="11"/>
      <color theme="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b/>
      <sz val="11"/>
      <color theme="1"/>
      <name val="Times"/>
    </font>
    <font>
      <u/>
      <sz val="11"/>
      <color theme="10"/>
      <name val="Aptos Narrow"/>
      <family val="2"/>
      <scheme val="minor"/>
    </font>
    <font>
      <sz val="12"/>
      <color rgb="FF000000"/>
      <name val="Times New Roman"/>
      <family val="1"/>
      <charset val="1"/>
    </font>
    <font>
      <sz val="12"/>
      <color rgb="FF4D93D9"/>
      <name val="Times New Roman"/>
      <family val="1"/>
      <charset val="1"/>
    </font>
    <font>
      <b/>
      <sz val="12"/>
      <color rgb="FF000000"/>
      <name val="Times New Roman"/>
      <family val="1"/>
      <charset val="1"/>
    </font>
    <font>
      <b/>
      <sz val="11"/>
      <color rgb="FFFFFFFF"/>
      <name val="Aptos Narrow"/>
      <family val="2"/>
      <charset val="1"/>
    </font>
    <font>
      <sz val="11"/>
      <color rgb="FF000000"/>
      <name val="Aptos Narrow"/>
      <family val="2"/>
      <charset val="1"/>
    </font>
    <font>
      <sz val="11"/>
      <color theme="1"/>
      <name val="Quote-Cjk-Patch"/>
      <charset val="1"/>
    </font>
    <font>
      <b/>
      <sz val="12"/>
      <color rgb="FF0F1115"/>
      <name val="Quote-Cjk-Patch"/>
      <charset val="1"/>
    </font>
    <font>
      <b/>
      <sz val="11"/>
      <color theme="1"/>
      <name val="Quote-Cjk-Patch"/>
      <charset val="1"/>
    </font>
    <font>
      <sz val="11"/>
      <color rgb="FF4472C4"/>
      <name val="Aptos Narrow"/>
      <family val="2"/>
      <scheme val="minor"/>
    </font>
    <font>
      <sz val="11"/>
      <color rgb="FF333333"/>
      <name val="Aptos Narrow"/>
      <family val="2"/>
      <scheme val="minor"/>
    </font>
    <font>
      <sz val="11"/>
      <color rgb="FF000000"/>
      <name val="Aptos Narrow"/>
    </font>
    <font>
      <b/>
      <sz val="11"/>
      <color rgb="FF000000"/>
      <name val="Aptos Narrow"/>
    </font>
  </fonts>
  <fills count="18">
    <fill>
      <patternFill patternType="none"/>
    </fill>
    <fill>
      <patternFill patternType="gray125"/>
    </fill>
    <fill>
      <patternFill patternType="solid">
        <fgColor rgb="FFFFFF00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rgb="FFFAF2ED"/>
        <bgColor indexed="64"/>
      </patternFill>
    </fill>
    <fill>
      <patternFill patternType="solid">
        <fgColor theme="3" tint="0.89999084444715716"/>
        <bgColor indexed="64"/>
      </patternFill>
    </fill>
    <fill>
      <patternFill patternType="solid">
        <fgColor rgb="FFFAF7F5"/>
        <bgColor indexed="64"/>
      </patternFill>
    </fill>
    <fill>
      <patternFill patternType="solid">
        <fgColor rgb="FFFFFFFF"/>
        <bgColor indexed="64"/>
      </patternFill>
    </fill>
    <fill>
      <patternFill patternType="solid">
        <fgColor rgb="FFF2A074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A6C9EC"/>
        <bgColor indexed="64"/>
      </patternFill>
    </fill>
    <fill>
      <patternFill patternType="solid">
        <fgColor rgb="FF4EA72E"/>
        <bgColor indexed="64"/>
      </patternFill>
    </fill>
    <fill>
      <patternFill patternType="solid">
        <fgColor rgb="FFDAF2D0"/>
        <bgColor indexed="64"/>
      </patternFill>
    </fill>
  </fills>
  <borders count="39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  <border>
      <left style="thin">
        <color rgb="FF000000"/>
      </left>
      <right/>
      <top/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/>
      <top style="thin">
        <color rgb="FF000000"/>
      </top>
      <bottom/>
      <diagonal/>
    </border>
    <border>
      <left/>
      <right/>
      <top style="thin">
        <color rgb="FF000000"/>
      </top>
      <bottom/>
      <diagonal/>
    </border>
    <border>
      <left style="thin">
        <color rgb="FF000000"/>
      </left>
      <right/>
      <top/>
      <bottom/>
      <diagonal/>
    </border>
    <border>
      <left/>
      <right style="thin">
        <color rgb="FF000000"/>
      </right>
      <top/>
      <bottom/>
      <diagonal/>
    </border>
    <border>
      <left/>
      <right/>
      <top/>
      <bottom style="thin">
        <color rgb="FF000000"/>
      </bottom>
      <diagonal/>
    </border>
    <border>
      <left style="thin">
        <color rgb="FF000000"/>
      </left>
      <right style="thin">
        <color rgb="FF000000"/>
      </right>
      <top/>
      <bottom/>
      <diagonal/>
    </border>
    <border>
      <left/>
      <right/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rgb="FF000000"/>
      </top>
      <bottom/>
      <diagonal/>
    </border>
    <border>
      <left style="thin">
        <color rgb="FF000000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rgb="FF000000"/>
      </left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rgb="FF000000"/>
      </left>
      <right style="thin">
        <color indexed="64"/>
      </right>
      <top/>
      <bottom style="thin">
        <color rgb="FF000000"/>
      </bottom>
      <diagonal/>
    </border>
    <border>
      <left style="thin">
        <color rgb="FF000000"/>
      </left>
      <right style="thin">
        <color indexed="64"/>
      </right>
      <top style="thin">
        <color rgb="FF000000"/>
      </top>
      <bottom style="thin">
        <color rgb="FF000000"/>
      </bottom>
      <diagonal/>
    </border>
    <border>
      <left style="thin">
        <color indexed="64"/>
      </left>
      <right style="thin">
        <color rgb="FF000000"/>
      </right>
      <top style="thin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double">
        <color rgb="FF000000"/>
      </bottom>
      <diagonal/>
    </border>
    <border>
      <left style="thin">
        <color rgb="FF000000"/>
      </left>
      <right/>
      <top style="thin">
        <color rgb="FF000000"/>
      </top>
      <bottom style="double">
        <color rgb="FF000000"/>
      </bottom>
      <diagonal/>
    </border>
    <border>
      <left style="medium">
        <color rgb="FF000000"/>
      </left>
      <right/>
      <top style="medium">
        <color rgb="FF000000"/>
      </top>
      <bottom style="medium">
        <color rgb="FF000000"/>
      </bottom>
      <diagonal/>
    </border>
    <border>
      <left/>
      <right/>
      <top style="medium">
        <color rgb="FF000000"/>
      </top>
      <bottom style="medium">
        <color rgb="FF000000"/>
      </bottom>
      <diagonal/>
    </border>
    <border>
      <left/>
      <right style="medium">
        <color rgb="FF000000"/>
      </right>
      <top style="medium">
        <color rgb="FF000000"/>
      </top>
      <bottom style="medium">
        <color rgb="FF000000"/>
      </bottom>
      <diagonal/>
    </border>
    <border>
      <left style="medium">
        <color rgb="FF000000"/>
      </left>
      <right/>
      <top/>
      <bottom style="medium">
        <color rgb="FF000000"/>
      </bottom>
      <diagonal/>
    </border>
    <border>
      <left/>
      <right/>
      <top/>
      <bottom style="medium">
        <color rgb="FF000000"/>
      </bottom>
      <diagonal/>
    </border>
    <border>
      <left/>
      <right style="medium">
        <color rgb="FF000000"/>
      </right>
      <top/>
      <bottom style="medium">
        <color rgb="FF000000"/>
      </bottom>
      <diagonal/>
    </border>
    <border>
      <left style="thin">
        <color rgb="FFFFFFFF"/>
      </left>
      <right/>
      <top style="thin">
        <color rgb="FFFFFFFF"/>
      </top>
      <bottom style="thin">
        <color rgb="FFFFFFFF"/>
      </bottom>
      <diagonal/>
    </border>
    <border>
      <left/>
      <right/>
      <top style="thin">
        <color rgb="FFFFFFFF"/>
      </top>
      <bottom style="thin">
        <color rgb="FFFFFFFF"/>
      </bottom>
      <diagonal/>
    </border>
    <border>
      <left/>
      <right style="thin">
        <color rgb="FFFFFFFF"/>
      </right>
      <top style="thin">
        <color rgb="FFFFFFFF"/>
      </top>
      <bottom style="thin">
        <color rgb="FFFFFFFF"/>
      </bottom>
      <diagonal/>
    </border>
  </borders>
  <cellStyleXfs count="2">
    <xf numFmtId="0" fontId="0" fillId="0" borderId="0"/>
    <xf numFmtId="0" fontId="29" fillId="0" borderId="0" applyNumberFormat="0" applyFill="0" applyBorder="0" applyAlignment="0" applyProtection="0"/>
  </cellStyleXfs>
  <cellXfs count="529">
    <xf numFmtId="0" fontId="0" fillId="0" borderId="0" xfId="0"/>
    <xf numFmtId="0" fontId="1" fillId="0" borderId="0" xfId="0" applyFont="1"/>
    <xf numFmtId="0" fontId="2" fillId="0" borderId="0" xfId="0" applyFont="1"/>
    <xf numFmtId="0" fontId="2" fillId="0" borderId="1" xfId="0" applyFont="1" applyBorder="1" applyAlignment="1">
      <alignment horizontal="left"/>
    </xf>
    <xf numFmtId="0" fontId="2" fillId="0" borderId="1" xfId="0" applyFont="1" applyBorder="1" applyAlignment="1">
      <alignment horizontal="center"/>
    </xf>
    <xf numFmtId="0" fontId="1" fillId="0" borderId="14" xfId="0" applyFont="1" applyBorder="1" applyAlignment="1">
      <alignment horizontal="center"/>
    </xf>
    <xf numFmtId="0" fontId="1" fillId="0" borderId="14" xfId="0" applyFont="1" applyBorder="1"/>
    <xf numFmtId="0" fontId="1" fillId="0" borderId="3" xfId="0" applyFont="1" applyBorder="1"/>
    <xf numFmtId="6" fontId="1" fillId="0" borderId="12" xfId="0" applyNumberFormat="1" applyFont="1" applyBorder="1" applyAlignment="1">
      <alignment wrapText="1"/>
    </xf>
    <xf numFmtId="8" fontId="1" fillId="0" borderId="12" xfId="0" applyNumberFormat="1" applyFont="1" applyBorder="1" applyAlignment="1">
      <alignment wrapText="1"/>
    </xf>
    <xf numFmtId="8" fontId="1" fillId="0" borderId="2" xfId="0" applyNumberFormat="1" applyFont="1" applyBorder="1" applyAlignment="1">
      <alignment wrapText="1"/>
    </xf>
    <xf numFmtId="0" fontId="1" fillId="0" borderId="3" xfId="0" applyFont="1" applyBorder="1" applyAlignment="1">
      <alignment horizontal="center"/>
    </xf>
    <xf numFmtId="0" fontId="2" fillId="0" borderId="14" xfId="0" applyFont="1" applyBorder="1"/>
    <xf numFmtId="0" fontId="1" fillId="0" borderId="0" xfId="0" applyFont="1" applyAlignment="1">
      <alignment horizontal="center"/>
    </xf>
    <xf numFmtId="0" fontId="1" fillId="0" borderId="8" xfId="0" applyFont="1" applyBorder="1"/>
    <xf numFmtId="0" fontId="2" fillId="0" borderId="11" xfId="0" applyFont="1" applyBorder="1"/>
    <xf numFmtId="0" fontId="1" fillId="0" borderId="12" xfId="0" applyFont="1" applyBorder="1"/>
    <xf numFmtId="0" fontId="1" fillId="0" borderId="11" xfId="0" applyFont="1" applyBorder="1"/>
    <xf numFmtId="6" fontId="1" fillId="0" borderId="11" xfId="0" applyNumberFormat="1" applyFont="1" applyBorder="1"/>
    <xf numFmtId="6" fontId="1" fillId="0" borderId="14" xfId="0" applyNumberFormat="1" applyFont="1" applyBorder="1"/>
    <xf numFmtId="0" fontId="1" fillId="0" borderId="4" xfId="0" applyFont="1" applyBorder="1"/>
    <xf numFmtId="0" fontId="1" fillId="0" borderId="2" xfId="0" applyFont="1" applyBorder="1"/>
    <xf numFmtId="0" fontId="2" fillId="0" borderId="8" xfId="0" applyFont="1" applyBorder="1"/>
    <xf numFmtId="0" fontId="3" fillId="0" borderId="0" xfId="0" applyFont="1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2" fillId="0" borderId="1" xfId="0" applyFont="1" applyBorder="1"/>
    <xf numFmtId="0" fontId="2" fillId="0" borderId="8" xfId="0" applyFont="1" applyBorder="1" applyAlignment="1">
      <alignment horizontal="center"/>
    </xf>
    <xf numFmtId="0" fontId="1" fillId="0" borderId="13" xfId="0" applyFont="1" applyBorder="1"/>
    <xf numFmtId="0" fontId="2" fillId="0" borderId="6" xfId="0" applyFont="1" applyBorder="1"/>
    <xf numFmtId="0" fontId="2" fillId="0" borderId="5" xfId="0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4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2" borderId="0" xfId="0" applyFont="1" applyFill="1"/>
    <xf numFmtId="0" fontId="2" fillId="3" borderId="0" xfId="0" applyFont="1" applyFill="1"/>
    <xf numFmtId="0" fontId="4" fillId="0" borderId="0" xfId="0" applyFont="1"/>
    <xf numFmtId="0" fontId="5" fillId="0" borderId="0" xfId="0" applyFont="1"/>
    <xf numFmtId="10" fontId="1" fillId="0" borderId="14" xfId="0" applyNumberFormat="1" applyFont="1" applyBorder="1" applyAlignment="1">
      <alignment horizontal="center"/>
    </xf>
    <xf numFmtId="10" fontId="1" fillId="0" borderId="3" xfId="0" applyNumberFormat="1" applyFont="1" applyBorder="1" applyAlignment="1">
      <alignment horizontal="center"/>
    </xf>
    <xf numFmtId="2" fontId="1" fillId="0" borderId="14" xfId="0" applyNumberFormat="1" applyFont="1" applyBorder="1" applyAlignment="1">
      <alignment horizontal="center"/>
    </xf>
    <xf numFmtId="6" fontId="1" fillId="0" borderId="0" xfId="0" applyNumberFormat="1" applyFont="1" applyAlignment="1">
      <alignment wrapText="1"/>
    </xf>
    <xf numFmtId="6" fontId="2" fillId="0" borderId="0" xfId="0" applyNumberFormat="1" applyFont="1"/>
    <xf numFmtId="0" fontId="6" fillId="0" borderId="0" xfId="0" applyFont="1"/>
    <xf numFmtId="6" fontId="1" fillId="3" borderId="12" xfId="0" applyNumberFormat="1" applyFont="1" applyFill="1" applyBorder="1" applyAlignment="1">
      <alignment wrapText="1"/>
    </xf>
    <xf numFmtId="0" fontId="1" fillId="3" borderId="0" xfId="0" applyFont="1" applyFill="1"/>
    <xf numFmtId="2" fontId="1" fillId="0" borderId="11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center"/>
    </xf>
    <xf numFmtId="2" fontId="1" fillId="0" borderId="4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16" fontId="1" fillId="0" borderId="0" xfId="0" applyNumberFormat="1" applyFont="1"/>
    <xf numFmtId="16" fontId="1" fillId="0" borderId="0" xfId="0" applyNumberFormat="1" applyFont="1" applyAlignment="1">
      <alignment horizontal="left"/>
    </xf>
    <xf numFmtId="2" fontId="1" fillId="0" borderId="10" xfId="0" applyNumberFormat="1" applyFont="1" applyBorder="1" applyAlignment="1">
      <alignment horizontal="center"/>
    </xf>
    <xf numFmtId="8" fontId="1" fillId="0" borderId="0" xfId="0" applyNumberFormat="1" applyFont="1" applyAlignment="1">
      <alignment horizontal="center"/>
    </xf>
    <xf numFmtId="9" fontId="1" fillId="0" borderId="0" xfId="0" applyNumberFormat="1" applyFont="1" applyAlignment="1">
      <alignment horizontal="center"/>
    </xf>
    <xf numFmtId="9" fontId="1" fillId="0" borderId="13" xfId="0" applyNumberFormat="1" applyFont="1" applyBorder="1" applyAlignment="1">
      <alignment horizontal="center"/>
    </xf>
    <xf numFmtId="0" fontId="1" fillId="0" borderId="13" xfId="0" applyFont="1" applyBorder="1" applyAlignment="1">
      <alignment horizontal="center"/>
    </xf>
    <xf numFmtId="0" fontId="2" fillId="0" borderId="6" xfId="0" applyFont="1" applyBorder="1" applyAlignment="1">
      <alignment horizontal="left"/>
    </xf>
    <xf numFmtId="0" fontId="2" fillId="0" borderId="15" xfId="0" applyFont="1" applyBorder="1" applyAlignment="1">
      <alignment horizontal="center"/>
    </xf>
    <xf numFmtId="0" fontId="7" fillId="0" borderId="0" xfId="0" applyFont="1"/>
    <xf numFmtId="6" fontId="1" fillId="0" borderId="12" xfId="0" applyNumberFormat="1" applyFont="1" applyBorder="1" applyAlignment="1">
      <alignment horizontal="right" wrapText="1"/>
    </xf>
    <xf numFmtId="3" fontId="8" fillId="0" borderId="12" xfId="0" applyNumberFormat="1" applyFont="1" applyBorder="1"/>
    <xf numFmtId="6" fontId="1" fillId="0" borderId="7" xfId="0" applyNumberFormat="1" applyFont="1" applyBorder="1" applyAlignment="1">
      <alignment wrapText="1"/>
    </xf>
    <xf numFmtId="6" fontId="2" fillId="0" borderId="5" xfId="0" applyNumberFormat="1" applyFont="1" applyBorder="1" applyAlignment="1">
      <alignment wrapText="1"/>
    </xf>
    <xf numFmtId="6" fontId="1" fillId="0" borderId="16" xfId="0" applyNumberFormat="1" applyFont="1" applyBorder="1" applyAlignment="1">
      <alignment wrapText="1"/>
    </xf>
    <xf numFmtId="0" fontId="1" fillId="0" borderId="17" xfId="0" applyFont="1" applyBorder="1"/>
    <xf numFmtId="0" fontId="2" fillId="0" borderId="18" xfId="0" applyFont="1" applyBorder="1" applyAlignment="1">
      <alignment horizontal="center" wrapText="1"/>
    </xf>
    <xf numFmtId="0" fontId="2" fillId="0" borderId="18" xfId="0" applyFont="1" applyBorder="1" applyAlignment="1">
      <alignment horizontal="center" vertical="top" wrapText="1"/>
    </xf>
    <xf numFmtId="0" fontId="1" fillId="0" borderId="19" xfId="0" applyFont="1" applyBorder="1"/>
    <xf numFmtId="0" fontId="1" fillId="0" borderId="20" xfId="0" applyFont="1" applyBorder="1" applyAlignment="1">
      <alignment horizontal="center"/>
    </xf>
    <xf numFmtId="0" fontId="1" fillId="0" borderId="21" xfId="0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6" fontId="2" fillId="3" borderId="5" xfId="0" applyNumberFormat="1" applyFont="1" applyFill="1" applyBorder="1" applyAlignment="1">
      <alignment wrapText="1"/>
    </xf>
    <xf numFmtId="0" fontId="11" fillId="0" borderId="22" xfId="0" applyFont="1" applyBorder="1"/>
    <xf numFmtId="0" fontId="2" fillId="0" borderId="7" xfId="0" applyFont="1" applyBorder="1" applyAlignment="1">
      <alignment horizontal="center"/>
    </xf>
    <xf numFmtId="0" fontId="1" fillId="0" borderId="2" xfId="0" applyFont="1" applyBorder="1" applyAlignment="1">
      <alignment horizontal="left"/>
    </xf>
    <xf numFmtId="0" fontId="14" fillId="0" borderId="0" xfId="0" applyFont="1" applyAlignment="1">
      <alignment horizontal="center"/>
    </xf>
    <xf numFmtId="0" fontId="18" fillId="0" borderId="0" xfId="0" applyFont="1"/>
    <xf numFmtId="0" fontId="19" fillId="0" borderId="0" xfId="0" applyFont="1"/>
    <xf numFmtId="0" fontId="2" fillId="8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center"/>
    </xf>
    <xf numFmtId="0" fontId="2" fillId="7" borderId="1" xfId="0" applyFont="1" applyFill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7" borderId="6" xfId="0" applyFont="1" applyFill="1" applyBorder="1" applyAlignment="1">
      <alignment horizontal="center"/>
    </xf>
    <xf numFmtId="0" fontId="2" fillId="8" borderId="8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40" fontId="1" fillId="0" borderId="7" xfId="0" applyNumberFormat="1" applyFont="1" applyBorder="1" applyAlignment="1">
      <alignment horizontal="center"/>
    </xf>
    <xf numFmtId="2" fontId="1" fillId="0" borderId="12" xfId="0" applyNumberFormat="1" applyFont="1" applyBorder="1" applyAlignment="1">
      <alignment horizontal="center"/>
    </xf>
    <xf numFmtId="2" fontId="1" fillId="0" borderId="2" xfId="0" applyNumberFormat="1" applyFont="1" applyBorder="1" applyAlignment="1">
      <alignment horizontal="center"/>
    </xf>
    <xf numFmtId="0" fontId="2" fillId="8" borderId="15" xfId="0" applyFont="1" applyFill="1" applyBorder="1" applyAlignment="1">
      <alignment horizontal="center"/>
    </xf>
    <xf numFmtId="0" fontId="2" fillId="10" borderId="0" xfId="0" applyFont="1" applyFill="1"/>
    <xf numFmtId="0" fontId="15" fillId="0" borderId="0" xfId="0" applyFont="1"/>
    <xf numFmtId="40" fontId="1" fillId="0" borderId="0" xfId="0" applyNumberFormat="1" applyFont="1" applyAlignment="1">
      <alignment horizontal="center"/>
    </xf>
    <xf numFmtId="40" fontId="1" fillId="0" borderId="23" xfId="0" applyNumberFormat="1" applyFont="1" applyBorder="1" applyAlignment="1">
      <alignment horizontal="center"/>
    </xf>
    <xf numFmtId="40" fontId="1" fillId="0" borderId="20" xfId="0" applyNumberFormat="1" applyFont="1" applyBorder="1" applyAlignment="1">
      <alignment horizontal="center"/>
    </xf>
    <xf numFmtId="40" fontId="1" fillId="0" borderId="21" xfId="0" applyNumberFormat="1" applyFont="1" applyBorder="1" applyAlignment="1">
      <alignment horizontal="center"/>
    </xf>
    <xf numFmtId="40" fontId="1" fillId="0" borderId="10" xfId="0" applyNumberFormat="1" applyFont="1" applyBorder="1" applyAlignment="1">
      <alignment horizontal="center"/>
    </xf>
    <xf numFmtId="40" fontId="1" fillId="0" borderId="24" xfId="0" applyNumberFormat="1" applyFont="1" applyBorder="1" applyAlignment="1">
      <alignment horizontal="center"/>
    </xf>
    <xf numFmtId="0" fontId="19" fillId="0" borderId="6" xfId="0" applyFont="1" applyBorder="1"/>
    <xf numFmtId="0" fontId="19" fillId="0" borderId="15" xfId="0" applyFont="1" applyBorder="1"/>
    <xf numFmtId="0" fontId="19" fillId="8" borderId="1" xfId="0" applyFont="1" applyFill="1" applyBorder="1" applyAlignment="1">
      <alignment horizontal="center"/>
    </xf>
    <xf numFmtId="0" fontId="19" fillId="7" borderId="1" xfId="0" applyFont="1" applyFill="1" applyBorder="1" applyAlignment="1">
      <alignment horizontal="center"/>
    </xf>
    <xf numFmtId="0" fontId="19" fillId="6" borderId="1" xfId="0" applyFont="1" applyFill="1" applyBorder="1" applyAlignment="1">
      <alignment horizontal="center"/>
    </xf>
    <xf numFmtId="0" fontId="18" fillId="0" borderId="4" xfId="0" applyFont="1" applyBorder="1"/>
    <xf numFmtId="0" fontId="18" fillId="0" borderId="13" xfId="0" applyFont="1" applyBorder="1"/>
    <xf numFmtId="0" fontId="18" fillId="0" borderId="1" xfId="0" applyFont="1" applyBorder="1"/>
    <xf numFmtId="0" fontId="18" fillId="0" borderId="9" xfId="0" applyFont="1" applyBorder="1"/>
    <xf numFmtId="0" fontId="18" fillId="0" borderId="11" xfId="0" applyFont="1" applyBorder="1" applyAlignment="1">
      <alignment horizontal="center"/>
    </xf>
    <xf numFmtId="0" fontId="2" fillId="3" borderId="9" xfId="0" applyFont="1" applyFill="1" applyBorder="1"/>
    <xf numFmtId="0" fontId="19" fillId="0" borderId="9" xfId="0" applyFont="1" applyBorder="1" applyAlignment="1">
      <alignment horizontal="center"/>
    </xf>
    <xf numFmtId="2" fontId="18" fillId="0" borderId="1" xfId="0" applyNumberFormat="1" applyFont="1" applyBorder="1" applyAlignment="1">
      <alignment horizontal="center"/>
    </xf>
    <xf numFmtId="2" fontId="19" fillId="0" borderId="1" xfId="0" applyNumberFormat="1" applyFont="1" applyBorder="1" applyAlignment="1">
      <alignment horizontal="center"/>
    </xf>
    <xf numFmtId="0" fontId="18" fillId="0" borderId="9" xfId="0" applyFont="1" applyBorder="1" applyAlignment="1">
      <alignment horizontal="center"/>
    </xf>
    <xf numFmtId="0" fontId="18" fillId="0" borderId="4" xfId="0" applyFont="1" applyBorder="1" applyAlignment="1">
      <alignment horizontal="center"/>
    </xf>
    <xf numFmtId="0" fontId="19" fillId="0" borderId="1" xfId="0" applyFont="1" applyBorder="1" applyAlignment="1">
      <alignment horizontal="center"/>
    </xf>
    <xf numFmtId="0" fontId="10" fillId="4" borderId="0" xfId="0" applyFont="1" applyFill="1" applyAlignment="1">
      <alignment horizontal="center"/>
    </xf>
    <xf numFmtId="0" fontId="10" fillId="3" borderId="0" xfId="0" applyFont="1" applyFill="1" applyAlignment="1">
      <alignment horizontal="center"/>
    </xf>
    <xf numFmtId="0" fontId="19" fillId="3" borderId="0" xfId="0" applyFont="1" applyFill="1"/>
    <xf numFmtId="0" fontId="18" fillId="0" borderId="1" xfId="0" applyFont="1" applyBorder="1" applyAlignment="1">
      <alignment horizontal="center"/>
    </xf>
    <xf numFmtId="0" fontId="2" fillId="0" borderId="17" xfId="0" applyFont="1" applyBorder="1"/>
    <xf numFmtId="6" fontId="1" fillId="0" borderId="17" xfId="0" applyNumberFormat="1" applyFont="1" applyBorder="1"/>
    <xf numFmtId="2" fontId="18" fillId="0" borderId="3" xfId="0" applyNumberFormat="1" applyFont="1" applyBorder="1" applyAlignment="1">
      <alignment horizontal="center"/>
    </xf>
    <xf numFmtId="0" fontId="2" fillId="8" borderId="1" xfId="0" applyFont="1" applyFill="1" applyBorder="1"/>
    <xf numFmtId="0" fontId="2" fillId="7" borderId="1" xfId="0" applyFont="1" applyFill="1" applyBorder="1"/>
    <xf numFmtId="0" fontId="2" fillId="6" borderId="1" xfId="0" applyFont="1" applyFill="1" applyBorder="1"/>
    <xf numFmtId="0" fontId="2" fillId="9" borderId="1" xfId="0" applyFont="1" applyFill="1" applyBorder="1"/>
    <xf numFmtId="0" fontId="2" fillId="0" borderId="12" xfId="0" applyFont="1" applyBorder="1"/>
    <xf numFmtId="0" fontId="1" fillId="3" borderId="11" xfId="0" applyFont="1" applyFill="1" applyBorder="1"/>
    <xf numFmtId="0" fontId="1" fillId="0" borderId="14" xfId="0" applyFont="1" applyBorder="1" applyAlignment="1">
      <alignment horizontal="right"/>
    </xf>
    <xf numFmtId="3" fontId="1" fillId="0" borderId="11" xfId="0" applyNumberFormat="1" applyFont="1" applyBorder="1" applyAlignment="1">
      <alignment horizontal="right"/>
    </xf>
    <xf numFmtId="0" fontId="1" fillId="0" borderId="11" xfId="0" applyFont="1" applyBorder="1" applyAlignment="1">
      <alignment horizontal="right"/>
    </xf>
    <xf numFmtId="0" fontId="2" fillId="0" borderId="11" xfId="0" applyFont="1" applyBorder="1" applyAlignment="1">
      <alignment horizontal="right"/>
    </xf>
    <xf numFmtId="0" fontId="2" fillId="0" borderId="14" xfId="0" applyFont="1" applyBorder="1" applyAlignment="1">
      <alignment horizontal="right"/>
    </xf>
    <xf numFmtId="8" fontId="6" fillId="0" borderId="14" xfId="0" applyNumberFormat="1" applyFont="1" applyBorder="1" applyAlignment="1">
      <alignment horizontal="right"/>
    </xf>
    <xf numFmtId="8" fontId="6" fillId="0" borderId="0" xfId="0" applyNumberFormat="1" applyFont="1" applyAlignment="1">
      <alignment horizontal="right"/>
    </xf>
    <xf numFmtId="8" fontId="6" fillId="0" borderId="12" xfId="0" applyNumberFormat="1" applyFont="1" applyBorder="1" applyAlignment="1">
      <alignment horizontal="right"/>
    </xf>
    <xf numFmtId="10" fontId="1" fillId="0" borderId="11" xfId="0" applyNumberFormat="1" applyFont="1" applyBorder="1" applyAlignment="1">
      <alignment horizontal="right"/>
    </xf>
    <xf numFmtId="0" fontId="1" fillId="0" borderId="3" xfId="0" applyFont="1" applyBorder="1" applyAlignment="1">
      <alignment horizontal="right"/>
    </xf>
    <xf numFmtId="0" fontId="1" fillId="0" borderId="4" xfId="0" applyFont="1" applyBorder="1" applyAlignment="1">
      <alignment horizontal="right"/>
    </xf>
    <xf numFmtId="10" fontId="1" fillId="0" borderId="4" xfId="0" applyNumberFormat="1" applyFont="1" applyBorder="1" applyAlignment="1">
      <alignment horizontal="right"/>
    </xf>
    <xf numFmtId="2" fontId="18" fillId="0" borderId="8" xfId="0" applyNumberFormat="1" applyFont="1" applyBorder="1" applyAlignment="1">
      <alignment horizontal="center"/>
    </xf>
    <xf numFmtId="0" fontId="19" fillId="0" borderId="0" xfId="0" applyFont="1" applyAlignment="1">
      <alignment horizontal="left"/>
    </xf>
    <xf numFmtId="6" fontId="2" fillId="0" borderId="14" xfId="0" applyNumberFormat="1" applyFont="1" applyBorder="1"/>
    <xf numFmtId="6" fontId="2" fillId="0" borderId="11" xfId="0" applyNumberFormat="1" applyFont="1" applyBorder="1"/>
    <xf numFmtId="5" fontId="2" fillId="0" borderId="17" xfId="0" applyNumberFormat="1" applyFont="1" applyBorder="1"/>
    <xf numFmtId="6" fontId="2" fillId="0" borderId="17" xfId="0" applyNumberFormat="1" applyFont="1" applyBorder="1"/>
    <xf numFmtId="0" fontId="2" fillId="7" borderId="6" xfId="0" applyFont="1" applyFill="1" applyBorder="1" applyAlignment="1">
      <alignment horizontal="right"/>
    </xf>
    <xf numFmtId="0" fontId="2" fillId="6" borderId="26" xfId="0" applyFont="1" applyFill="1" applyBorder="1" applyAlignment="1">
      <alignment horizontal="right"/>
    </xf>
    <xf numFmtId="9" fontId="18" fillId="0" borderId="1" xfId="0" applyNumberFormat="1" applyFont="1" applyBorder="1" applyAlignment="1">
      <alignment horizontal="center"/>
    </xf>
    <xf numFmtId="2" fontId="0" fillId="0" borderId="11" xfId="0" applyNumberFormat="1" applyBorder="1" applyAlignment="1">
      <alignment horizontal="center"/>
    </xf>
    <xf numFmtId="0" fontId="2" fillId="7" borderId="1" xfId="0" applyFont="1" applyFill="1" applyBorder="1" applyAlignment="1">
      <alignment horizontal="right"/>
    </xf>
    <xf numFmtId="0" fontId="2" fillId="6" borderId="1" xfId="0" applyFont="1" applyFill="1" applyBorder="1" applyAlignment="1">
      <alignment horizontal="right"/>
    </xf>
    <xf numFmtId="0" fontId="2" fillId="9" borderId="1" xfId="0" applyFont="1" applyFill="1" applyBorder="1" applyAlignment="1">
      <alignment horizontal="right"/>
    </xf>
    <xf numFmtId="0" fontId="19" fillId="8" borderId="8" xfId="0" applyFont="1" applyFill="1" applyBorder="1" applyAlignment="1">
      <alignment horizontal="center"/>
    </xf>
    <xf numFmtId="0" fontId="19" fillId="7" borderId="8" xfId="0" applyFont="1" applyFill="1" applyBorder="1" applyAlignment="1">
      <alignment horizontal="center"/>
    </xf>
    <xf numFmtId="0" fontId="19" fillId="6" borderId="9" xfId="0" applyFont="1" applyFill="1" applyBorder="1" applyAlignment="1">
      <alignment horizontal="center"/>
    </xf>
    <xf numFmtId="0" fontId="1" fillId="0" borderId="10" xfId="0" applyFont="1" applyBorder="1"/>
    <xf numFmtId="0" fontId="1" fillId="0" borderId="7" xfId="0" applyFont="1" applyBorder="1"/>
    <xf numFmtId="0" fontId="1" fillId="0" borderId="13" xfId="0" applyFont="1" applyBorder="1" applyAlignment="1">
      <alignment horizontal="left"/>
    </xf>
    <xf numFmtId="0" fontId="19" fillId="0" borderId="6" xfId="0" applyFont="1" applyBorder="1" applyAlignment="1">
      <alignment horizontal="center"/>
    </xf>
    <xf numFmtId="0" fontId="6" fillId="0" borderId="9" xfId="0" applyFont="1" applyBorder="1"/>
    <xf numFmtId="0" fontId="9" fillId="0" borderId="10" xfId="0" applyFont="1" applyBorder="1"/>
    <xf numFmtId="0" fontId="6" fillId="0" borderId="11" xfId="0" applyFont="1" applyBorder="1"/>
    <xf numFmtId="0" fontId="0" fillId="0" borderId="4" xfId="0" applyBorder="1"/>
    <xf numFmtId="0" fontId="0" fillId="0" borderId="13" xfId="0" applyBorder="1"/>
    <xf numFmtId="0" fontId="6" fillId="0" borderId="4" xfId="0" applyFont="1" applyBorder="1"/>
    <xf numFmtId="0" fontId="6" fillId="0" borderId="13" xfId="0" applyFont="1" applyBorder="1"/>
    <xf numFmtId="0" fontId="2" fillId="11" borderId="1" xfId="0" applyFont="1" applyFill="1" applyBorder="1" applyAlignment="1">
      <alignment horizontal="right"/>
    </xf>
    <xf numFmtId="0" fontId="1" fillId="0" borderId="8" xfId="0" applyFont="1" applyBorder="1" applyAlignment="1">
      <alignment horizontal="center"/>
    </xf>
    <xf numFmtId="0" fontId="21" fillId="0" borderId="0" xfId="0" applyFont="1"/>
    <xf numFmtId="0" fontId="19" fillId="6" borderId="8" xfId="0" applyFont="1" applyFill="1" applyBorder="1" applyAlignment="1">
      <alignment horizontal="center"/>
    </xf>
    <xf numFmtId="0" fontId="2" fillId="9" borderId="1" xfId="0" applyFont="1" applyFill="1" applyBorder="1" applyAlignment="1">
      <alignment horizontal="center"/>
    </xf>
    <xf numFmtId="0" fontId="2" fillId="9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0" fontId="2" fillId="11" borderId="1" xfId="0" applyFont="1" applyFill="1" applyBorder="1" applyAlignment="1">
      <alignment horizontal="center"/>
    </xf>
    <xf numFmtId="0" fontId="2" fillId="0" borderId="27" xfId="0" applyFont="1" applyBorder="1" applyAlignment="1">
      <alignment horizontal="center" wrapText="1"/>
    </xf>
    <xf numFmtId="0" fontId="19" fillId="0" borderId="0" xfId="0" applyFont="1" applyAlignment="1">
      <alignment horizontal="center"/>
    </xf>
    <xf numFmtId="0" fontId="18" fillId="0" borderId="0" xfId="0" applyFont="1" applyAlignment="1">
      <alignment horizontal="center"/>
    </xf>
    <xf numFmtId="0" fontId="18" fillId="0" borderId="0" xfId="0" applyFont="1" applyAlignment="1">
      <alignment horizontal="left"/>
    </xf>
    <xf numFmtId="0" fontId="18" fillId="0" borderId="12" xfId="0" applyFont="1" applyBorder="1" applyAlignment="1">
      <alignment horizontal="left"/>
    </xf>
    <xf numFmtId="0" fontId="2" fillId="9" borderId="8" xfId="0" applyFont="1" applyFill="1" applyBorder="1" applyAlignment="1">
      <alignment horizontal="center"/>
    </xf>
    <xf numFmtId="0" fontId="2" fillId="11" borderId="8" xfId="0" applyFont="1" applyFill="1" applyBorder="1" applyAlignment="1">
      <alignment horizontal="center"/>
    </xf>
    <xf numFmtId="164" fontId="18" fillId="0" borderId="1" xfId="0" applyNumberFormat="1" applyFont="1" applyBorder="1" applyAlignment="1">
      <alignment horizontal="center" wrapText="1"/>
    </xf>
    <xf numFmtId="164" fontId="18" fillId="0" borderId="1" xfId="0" applyNumberFormat="1" applyFont="1" applyBorder="1" applyAlignment="1">
      <alignment horizontal="center"/>
    </xf>
    <xf numFmtId="5" fontId="1" fillId="3" borderId="12" xfId="0" applyNumberFormat="1" applyFont="1" applyFill="1" applyBorder="1"/>
    <xf numFmtId="5" fontId="2" fillId="3" borderId="5" xfId="0" applyNumberFormat="1" applyFont="1" applyFill="1" applyBorder="1"/>
    <xf numFmtId="5" fontId="2" fillId="3" borderId="6" xfId="0" applyNumberFormat="1" applyFont="1" applyFill="1" applyBorder="1"/>
    <xf numFmtId="5" fontId="1" fillId="3" borderId="11" xfId="0" applyNumberFormat="1" applyFont="1" applyFill="1" applyBorder="1"/>
    <xf numFmtId="5" fontId="2" fillId="3" borderId="1" xfId="0" applyNumberFormat="1" applyFont="1" applyFill="1" applyBorder="1"/>
    <xf numFmtId="5" fontId="2" fillId="3" borderId="1" xfId="0" applyNumberFormat="1" applyFont="1" applyFill="1" applyBorder="1" applyAlignment="1">
      <alignment horizontal="right"/>
    </xf>
    <xf numFmtId="5" fontId="1" fillId="3" borderId="1" xfId="0" applyNumberFormat="1" applyFont="1" applyFill="1" applyBorder="1" applyAlignment="1">
      <alignment horizontal="right"/>
    </xf>
    <xf numFmtId="6" fontId="1" fillId="3" borderId="14" xfId="0" applyNumberFormat="1" applyFont="1" applyFill="1" applyBorder="1" applyAlignment="1">
      <alignment horizontal="right"/>
    </xf>
    <xf numFmtId="5" fontId="2" fillId="3" borderId="8" xfId="0" applyNumberFormat="1" applyFont="1" applyFill="1" applyBorder="1"/>
    <xf numFmtId="5" fontId="2" fillId="3" borderId="14" xfId="0" applyNumberFormat="1" applyFont="1" applyFill="1" applyBorder="1" applyAlignment="1">
      <alignment horizontal="right"/>
    </xf>
    <xf numFmtId="6" fontId="2" fillId="3" borderId="1" xfId="0" applyNumberFormat="1" applyFont="1" applyFill="1" applyBorder="1" applyAlignment="1">
      <alignment horizontal="right"/>
    </xf>
    <xf numFmtId="5" fontId="2" fillId="3" borderId="8" xfId="0" applyNumberFormat="1" applyFont="1" applyFill="1" applyBorder="1" applyAlignment="1">
      <alignment horizontal="right"/>
    </xf>
    <xf numFmtId="6" fontId="2" fillId="3" borderId="6" xfId="0" applyNumberFormat="1" applyFont="1" applyFill="1" applyBorder="1" applyAlignment="1">
      <alignment horizontal="right"/>
    </xf>
    <xf numFmtId="6" fontId="1" fillId="3" borderId="11" xfId="0" applyNumberFormat="1" applyFont="1" applyFill="1" applyBorder="1" applyAlignment="1">
      <alignment horizontal="right"/>
    </xf>
    <xf numFmtId="6" fontId="2" fillId="3" borderId="8" xfId="0" applyNumberFormat="1" applyFont="1" applyFill="1" applyBorder="1" applyAlignment="1">
      <alignment horizontal="right"/>
    </xf>
    <xf numFmtId="6" fontId="1" fillId="0" borderId="14" xfId="0" applyNumberFormat="1" applyFont="1" applyBorder="1" applyAlignment="1">
      <alignment wrapText="1"/>
    </xf>
    <xf numFmtId="6" fontId="1" fillId="0" borderId="14" xfId="0" applyNumberFormat="1" applyFont="1" applyBorder="1" applyAlignment="1">
      <alignment horizontal="left" wrapText="1"/>
    </xf>
    <xf numFmtId="6" fontId="2" fillId="0" borderId="8" xfId="0" applyNumberFormat="1" applyFont="1" applyBorder="1" applyAlignment="1">
      <alignment wrapText="1"/>
    </xf>
    <xf numFmtId="5" fontId="1" fillId="0" borderId="12" xfId="0" applyNumberFormat="1" applyFont="1" applyBorder="1" applyAlignment="1">
      <alignment horizontal="right" wrapText="1"/>
    </xf>
    <xf numFmtId="0" fontId="22" fillId="0" borderId="0" xfId="0" applyFont="1"/>
    <xf numFmtId="0" fontId="14" fillId="0" borderId="0" xfId="0" applyFont="1"/>
    <xf numFmtId="6" fontId="1" fillId="0" borderId="8" xfId="0" applyNumberFormat="1" applyFont="1" applyBorder="1" applyAlignment="1">
      <alignment wrapText="1"/>
    </xf>
    <xf numFmtId="6" fontId="1" fillId="0" borderId="3" xfId="0" applyNumberFormat="1" applyFont="1" applyBorder="1" applyAlignment="1">
      <alignment wrapText="1"/>
    </xf>
    <xf numFmtId="6" fontId="1" fillId="0" borderId="10" xfId="0" applyNumberFormat="1" applyFont="1" applyBorder="1" applyAlignment="1">
      <alignment wrapText="1"/>
    </xf>
    <xf numFmtId="6" fontId="1" fillId="0" borderId="0" xfId="0" applyNumberFormat="1" applyFont="1" applyAlignment="1">
      <alignment horizontal="right" wrapText="1"/>
    </xf>
    <xf numFmtId="8" fontId="1" fillId="0" borderId="8" xfId="0" applyNumberFormat="1" applyFont="1" applyBorder="1" applyAlignment="1">
      <alignment wrapText="1"/>
    </xf>
    <xf numFmtId="8" fontId="1" fillId="0" borderId="3" xfId="0" applyNumberFormat="1" applyFont="1" applyBorder="1" applyAlignment="1">
      <alignment wrapText="1"/>
    </xf>
    <xf numFmtId="8" fontId="1" fillId="0" borderId="0" xfId="0" applyNumberFormat="1" applyFont="1" applyAlignment="1">
      <alignment wrapText="1"/>
    </xf>
    <xf numFmtId="8" fontId="1" fillId="0" borderId="13" xfId="0" applyNumberFormat="1" applyFont="1" applyBorder="1" applyAlignment="1">
      <alignment wrapText="1"/>
    </xf>
    <xf numFmtId="0" fontId="2" fillId="11" borderId="8" xfId="0" applyFont="1" applyFill="1" applyBorder="1" applyAlignment="1">
      <alignment horizontal="right"/>
    </xf>
    <xf numFmtId="5" fontId="2" fillId="8" borderId="1" xfId="0" applyNumberFormat="1" applyFont="1" applyFill="1" applyBorder="1" applyAlignment="1">
      <alignment horizontal="right"/>
    </xf>
    <xf numFmtId="5" fontId="2" fillId="7" borderId="1" xfId="0" applyNumberFormat="1" applyFont="1" applyFill="1" applyBorder="1" applyAlignment="1">
      <alignment horizontal="right"/>
    </xf>
    <xf numFmtId="5" fontId="2" fillId="6" borderId="1" xfId="0" applyNumberFormat="1" applyFont="1" applyFill="1" applyBorder="1" applyAlignment="1">
      <alignment horizontal="right"/>
    </xf>
    <xf numFmtId="5" fontId="2" fillId="9" borderId="1" xfId="0" applyNumberFormat="1" applyFont="1" applyFill="1" applyBorder="1" applyAlignment="1">
      <alignment horizontal="right"/>
    </xf>
    <xf numFmtId="6" fontId="2" fillId="11" borderId="8" xfId="0" applyNumberFormat="1" applyFont="1" applyFill="1" applyBorder="1" applyAlignment="1">
      <alignment horizontal="right"/>
    </xf>
    <xf numFmtId="5" fontId="1" fillId="0" borderId="14" xfId="0" applyNumberFormat="1" applyFont="1" applyBorder="1"/>
    <xf numFmtId="5" fontId="1" fillId="0" borderId="11" xfId="0" applyNumberFormat="1" applyFont="1" applyBorder="1"/>
    <xf numFmtId="5" fontId="1" fillId="0" borderId="17" xfId="0" applyNumberFormat="1" applyFont="1" applyBorder="1"/>
    <xf numFmtId="5" fontId="1" fillId="0" borderId="4" xfId="0" applyNumberFormat="1" applyFont="1" applyBorder="1"/>
    <xf numFmtId="5" fontId="1" fillId="0" borderId="25" xfId="0" applyNumberFormat="1" applyFont="1" applyBorder="1"/>
    <xf numFmtId="165" fontId="1" fillId="0" borderId="9" xfId="0" applyNumberFormat="1" applyFont="1" applyBorder="1" applyAlignment="1">
      <alignment horizontal="center"/>
    </xf>
    <xf numFmtId="165" fontId="1" fillId="0" borderId="6" xfId="0" applyNumberFormat="1" applyFont="1" applyBorder="1" applyAlignment="1">
      <alignment horizontal="center"/>
    </xf>
    <xf numFmtId="165" fontId="1" fillId="0" borderId="1" xfId="0" applyNumberFormat="1" applyFont="1" applyBorder="1" applyAlignment="1">
      <alignment horizontal="center"/>
    </xf>
    <xf numFmtId="0" fontId="2" fillId="6" borderId="8" xfId="0" applyFont="1" applyFill="1" applyBorder="1" applyAlignment="1">
      <alignment horizontal="center"/>
    </xf>
    <xf numFmtId="0" fontId="23" fillId="12" borderId="0" xfId="0" applyFont="1" applyFill="1" applyAlignment="1">
      <alignment wrapText="1"/>
    </xf>
    <xf numFmtId="6" fontId="2" fillId="0" borderId="14" xfId="0" applyNumberFormat="1" applyFont="1" applyBorder="1" applyAlignment="1">
      <alignment wrapText="1"/>
    </xf>
    <xf numFmtId="0" fontId="2" fillId="3" borderId="1" xfId="0" applyFont="1" applyFill="1" applyBorder="1" applyAlignment="1">
      <alignment horizontal="right"/>
    </xf>
    <xf numFmtId="5" fontId="1" fillId="0" borderId="25" xfId="0" applyNumberFormat="1" applyFont="1" applyBorder="1" applyAlignment="1">
      <alignment horizontal="right"/>
    </xf>
    <xf numFmtId="5" fontId="1" fillId="0" borderId="25" xfId="0" applyNumberFormat="1" applyFont="1" applyBorder="1" applyAlignment="1">
      <alignment horizontal="left"/>
    </xf>
    <xf numFmtId="5" fontId="1" fillId="0" borderId="4" xfId="0" applyNumberFormat="1" applyFont="1" applyBorder="1" applyAlignment="1">
      <alignment horizontal="right"/>
    </xf>
    <xf numFmtId="6" fontId="2" fillId="0" borderId="28" xfId="0" applyNumberFormat="1" applyFont="1" applyBorder="1"/>
    <xf numFmtId="6" fontId="2" fillId="0" borderId="29" xfId="0" applyNumberFormat="1" applyFont="1" applyBorder="1"/>
    <xf numFmtId="5" fontId="1" fillId="0" borderId="11" xfId="0" applyNumberFormat="1" applyFont="1" applyBorder="1" applyAlignment="1">
      <alignment horizontal="right"/>
    </xf>
    <xf numFmtId="0" fontId="2" fillId="8" borderId="1" xfId="0" applyFont="1" applyFill="1" applyBorder="1" applyAlignment="1">
      <alignment horizontal="center"/>
    </xf>
    <xf numFmtId="0" fontId="2" fillId="13" borderId="6" xfId="0" applyFont="1" applyFill="1" applyBorder="1" applyAlignment="1">
      <alignment horizontal="center"/>
    </xf>
    <xf numFmtId="0" fontId="9" fillId="0" borderId="11" xfId="0" applyFont="1" applyBorder="1" applyAlignment="1">
      <alignment horizontal="left"/>
    </xf>
    <xf numFmtId="0" fontId="9" fillId="0" borderId="11" xfId="0" applyFont="1" applyBorder="1"/>
    <xf numFmtId="0" fontId="2" fillId="4" borderId="1" xfId="0" applyFont="1" applyFill="1" applyBorder="1" applyAlignment="1">
      <alignment wrapText="1"/>
    </xf>
    <xf numFmtId="0" fontId="2" fillId="7" borderId="9" xfId="0" applyFont="1" applyFill="1" applyBorder="1" applyAlignment="1">
      <alignment horizontal="right"/>
    </xf>
    <xf numFmtId="6" fontId="1" fillId="0" borderId="11" xfId="0" applyNumberFormat="1" applyFont="1" applyBorder="1" applyAlignment="1">
      <alignment wrapText="1"/>
    </xf>
    <xf numFmtId="5" fontId="1" fillId="0" borderId="14" xfId="0" applyNumberFormat="1" applyFont="1" applyBorder="1" applyAlignment="1">
      <alignment horizontal="right"/>
    </xf>
    <xf numFmtId="0" fontId="2" fillId="8" borderId="9" xfId="0" applyFont="1" applyFill="1" applyBorder="1" applyAlignment="1">
      <alignment horizontal="right"/>
    </xf>
    <xf numFmtId="0" fontId="2" fillId="6" borderId="9" xfId="0" applyFont="1" applyFill="1" applyBorder="1" applyAlignment="1">
      <alignment horizontal="right"/>
    </xf>
    <xf numFmtId="0" fontId="2" fillId="9" borderId="9" xfId="0" applyFont="1" applyFill="1" applyBorder="1" applyAlignment="1">
      <alignment horizontal="right"/>
    </xf>
    <xf numFmtId="0" fontId="2" fillId="0" borderId="29" xfId="0" applyFont="1" applyBorder="1"/>
    <xf numFmtId="0" fontId="25" fillId="0" borderId="0" xfId="0" applyFont="1"/>
    <xf numFmtId="0" fontId="26" fillId="14" borderId="9" xfId="0" applyFont="1" applyFill="1" applyBorder="1"/>
    <xf numFmtId="0" fontId="18" fillId="0" borderId="15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8" fillId="0" borderId="3" xfId="0" applyFont="1" applyBorder="1" applyAlignment="1">
      <alignment horizontal="center"/>
    </xf>
    <xf numFmtId="9" fontId="18" fillId="0" borderId="3" xfId="0" applyNumberFormat="1" applyFont="1" applyBorder="1" applyAlignment="1">
      <alignment horizontal="center"/>
    </xf>
    <xf numFmtId="0" fontId="0" fillId="0" borderId="1" xfId="0" applyBorder="1" applyAlignment="1">
      <alignment horizontal="center" wrapText="1"/>
    </xf>
    <xf numFmtId="9" fontId="0" fillId="0" borderId="1" xfId="0" applyNumberFormat="1" applyBorder="1" applyAlignment="1">
      <alignment horizontal="center" wrapText="1"/>
    </xf>
    <xf numFmtId="2" fontId="1" fillId="0" borderId="0" xfId="0" applyNumberFormat="1" applyFont="1" applyAlignment="1">
      <alignment wrapText="1"/>
    </xf>
    <xf numFmtId="9" fontId="0" fillId="0" borderId="0" xfId="0" applyNumberFormat="1" applyAlignment="1">
      <alignment horizontal="center"/>
    </xf>
    <xf numFmtId="10" fontId="0" fillId="0" borderId="0" xfId="0" applyNumberFormat="1" applyAlignment="1">
      <alignment horizontal="center"/>
    </xf>
    <xf numFmtId="0" fontId="0" fillId="0" borderId="0" xfId="0" applyAlignment="1">
      <alignment horizontal="center"/>
    </xf>
    <xf numFmtId="2" fontId="2" fillId="0" borderId="0" xfId="0" applyNumberFormat="1" applyFont="1" applyAlignment="1">
      <alignment horizontal="right"/>
    </xf>
    <xf numFmtId="0" fontId="27" fillId="0" borderId="1" xfId="0" applyFont="1" applyBorder="1" applyAlignment="1">
      <alignment horizontal="center"/>
    </xf>
    <xf numFmtId="0" fontId="27" fillId="0" borderId="0" xfId="0" applyFont="1" applyAlignment="1">
      <alignment horizontal="center"/>
    </xf>
    <xf numFmtId="2" fontId="1" fillId="0" borderId="0" xfId="0" applyNumberFormat="1" applyFont="1" applyAlignment="1">
      <alignment horizontal="center" wrapText="1"/>
    </xf>
    <xf numFmtId="5" fontId="2" fillId="3" borderId="0" xfId="0" applyNumberFormat="1" applyFont="1" applyFill="1" applyAlignment="1">
      <alignment horizontal="right"/>
    </xf>
    <xf numFmtId="0" fontId="7" fillId="0" borderId="11" xfId="0" applyFont="1" applyBorder="1"/>
    <xf numFmtId="0" fontId="7" fillId="0" borderId="14" xfId="0" applyFont="1" applyBorder="1" applyAlignment="1">
      <alignment horizontal="right"/>
    </xf>
    <xf numFmtId="0" fontId="7" fillId="0" borderId="9" xfId="0" applyFont="1" applyBorder="1"/>
    <xf numFmtId="0" fontId="28" fillId="0" borderId="11" xfId="0" applyFont="1" applyBorder="1"/>
    <xf numFmtId="0" fontId="7" fillId="0" borderId="6" xfId="0" applyFont="1" applyBorder="1"/>
    <xf numFmtId="0" fontId="7" fillId="0" borderId="11" xfId="0" applyFont="1" applyBorder="1" applyAlignment="1">
      <alignment horizontal="right"/>
    </xf>
    <xf numFmtId="0" fontId="28" fillId="7" borderId="11" xfId="0" applyFont="1" applyFill="1" applyBorder="1"/>
    <xf numFmtId="0" fontId="28" fillId="0" borderId="4" xfId="0" applyFont="1" applyBorder="1"/>
    <xf numFmtId="0" fontId="27" fillId="0" borderId="5" xfId="0" applyFont="1" applyBorder="1" applyAlignment="1">
      <alignment horizontal="center"/>
    </xf>
    <xf numFmtId="2" fontId="7" fillId="0" borderId="14" xfId="0" applyNumberFormat="1" applyFont="1" applyBorder="1" applyAlignment="1">
      <alignment horizontal="right" wrapText="1"/>
    </xf>
    <xf numFmtId="0" fontId="27" fillId="0" borderId="6" xfId="0" applyFont="1" applyBorder="1" applyAlignment="1">
      <alignment horizontal="center"/>
    </xf>
    <xf numFmtId="2" fontId="7" fillId="0" borderId="11" xfId="0" applyNumberFormat="1" applyFont="1" applyBorder="1" applyAlignment="1">
      <alignment horizontal="right"/>
    </xf>
    <xf numFmtId="2" fontId="7" fillId="0" borderId="11" xfId="0" applyNumberFormat="1" applyFont="1" applyBorder="1" applyAlignment="1">
      <alignment horizontal="right" wrapText="1"/>
    </xf>
    <xf numFmtId="2" fontId="7" fillId="0" borderId="14" xfId="0" applyNumberFormat="1" applyFont="1" applyBorder="1" applyAlignment="1">
      <alignment horizontal="right"/>
    </xf>
    <xf numFmtId="2" fontId="7" fillId="0" borderId="12" xfId="0" applyNumberFormat="1" applyFont="1" applyBorder="1" applyAlignment="1">
      <alignment horizontal="right"/>
    </xf>
    <xf numFmtId="10" fontId="7" fillId="0" borderId="11" xfId="0" applyNumberFormat="1" applyFont="1" applyBorder="1" applyAlignment="1">
      <alignment horizontal="right" wrapText="1"/>
    </xf>
    <xf numFmtId="9" fontId="7" fillId="6" borderId="11" xfId="0" applyNumberFormat="1" applyFont="1" applyFill="1" applyBorder="1" applyAlignment="1">
      <alignment horizontal="right"/>
    </xf>
    <xf numFmtId="10" fontId="7" fillId="6" borderId="11" xfId="0" applyNumberFormat="1" applyFont="1" applyFill="1" applyBorder="1" applyAlignment="1">
      <alignment horizontal="right"/>
    </xf>
    <xf numFmtId="9" fontId="7" fillId="6" borderId="14" xfId="0" applyNumberFormat="1" applyFont="1" applyFill="1" applyBorder="1" applyAlignment="1">
      <alignment horizontal="right"/>
    </xf>
    <xf numFmtId="9" fontId="7" fillId="6" borderId="12" xfId="0" applyNumberFormat="1" applyFont="1" applyFill="1" applyBorder="1" applyAlignment="1">
      <alignment horizontal="right"/>
    </xf>
    <xf numFmtId="10" fontId="7" fillId="0" borderId="4" xfId="0" applyNumberFormat="1" applyFont="1" applyBorder="1" applyAlignment="1">
      <alignment horizontal="right" wrapText="1"/>
    </xf>
    <xf numFmtId="2" fontId="7" fillId="0" borderId="12" xfId="0" applyNumberFormat="1" applyFont="1" applyBorder="1" applyAlignment="1">
      <alignment horizontal="right" wrapText="1"/>
    </xf>
    <xf numFmtId="10" fontId="7" fillId="0" borderId="14" xfId="0" applyNumberFormat="1" applyFont="1" applyBorder="1" applyAlignment="1">
      <alignment horizontal="right" wrapText="1"/>
    </xf>
    <xf numFmtId="10" fontId="7" fillId="0" borderId="12" xfId="0" applyNumberFormat="1" applyFont="1" applyBorder="1" applyAlignment="1">
      <alignment horizontal="right" wrapText="1"/>
    </xf>
    <xf numFmtId="10" fontId="7" fillId="0" borderId="11" xfId="0" applyNumberFormat="1" applyFont="1" applyBorder="1" applyAlignment="1">
      <alignment horizontal="right"/>
    </xf>
    <xf numFmtId="0" fontId="7" fillId="0" borderId="12" xfId="0" applyFont="1" applyBorder="1" applyAlignment="1">
      <alignment horizontal="right"/>
    </xf>
    <xf numFmtId="10" fontId="7" fillId="0" borderId="14" xfId="0" applyNumberFormat="1" applyFont="1" applyBorder="1" applyAlignment="1">
      <alignment horizontal="right"/>
    </xf>
    <xf numFmtId="10" fontId="7" fillId="0" borderId="12" xfId="0" applyNumberFormat="1" applyFont="1" applyBorder="1" applyAlignment="1">
      <alignment horizontal="right"/>
    </xf>
    <xf numFmtId="9" fontId="7" fillId="0" borderId="11" xfId="0" applyNumberFormat="1" applyFont="1" applyBorder="1" applyAlignment="1">
      <alignment horizontal="right"/>
    </xf>
    <xf numFmtId="9" fontId="7" fillId="0" borderId="14" xfId="0" applyNumberFormat="1" applyFont="1" applyBorder="1" applyAlignment="1">
      <alignment horizontal="right"/>
    </xf>
    <xf numFmtId="9" fontId="7" fillId="0" borderId="12" xfId="0" applyNumberFormat="1" applyFont="1" applyBorder="1" applyAlignment="1">
      <alignment horizontal="right"/>
    </xf>
    <xf numFmtId="0" fontId="0" fillId="0" borderId="9" xfId="0" applyBorder="1" applyAlignment="1">
      <alignment horizontal="right"/>
    </xf>
    <xf numFmtId="0" fontId="0" fillId="0" borderId="8" xfId="0" applyBorder="1" applyAlignment="1">
      <alignment horizontal="right"/>
    </xf>
    <xf numFmtId="0" fontId="0" fillId="0" borderId="7" xfId="0" applyBorder="1" applyAlignment="1">
      <alignment horizontal="right"/>
    </xf>
    <xf numFmtId="0" fontId="19" fillId="2" borderId="0" xfId="0" applyFont="1" applyFill="1"/>
    <xf numFmtId="0" fontId="23" fillId="12" borderId="0" xfId="0" applyFont="1" applyFill="1" applyAlignment="1">
      <alignment horizontal="center" wrapText="1"/>
    </xf>
    <xf numFmtId="166" fontId="7" fillId="0" borderId="11" xfId="0" applyNumberFormat="1" applyFont="1" applyBorder="1" applyAlignment="1">
      <alignment horizontal="right" wrapText="1"/>
    </xf>
    <xf numFmtId="166" fontId="7" fillId="0" borderId="11" xfId="0" applyNumberFormat="1" applyFont="1" applyBorder="1" applyAlignment="1">
      <alignment horizontal="right"/>
    </xf>
    <xf numFmtId="166" fontId="7" fillId="0" borderId="14" xfId="0" applyNumberFormat="1" applyFont="1" applyBorder="1" applyAlignment="1">
      <alignment horizontal="right"/>
    </xf>
    <xf numFmtId="166" fontId="7" fillId="0" borderId="12" xfId="0" applyNumberFormat="1" applyFont="1" applyBorder="1" applyAlignment="1">
      <alignment horizontal="right"/>
    </xf>
    <xf numFmtId="166" fontId="7" fillId="0" borderId="14" xfId="0" applyNumberFormat="1" applyFont="1" applyBorder="1" applyAlignment="1">
      <alignment horizontal="right" wrapText="1"/>
    </xf>
    <xf numFmtId="166" fontId="7" fillId="0" borderId="12" xfId="0" applyNumberFormat="1" applyFont="1" applyBorder="1" applyAlignment="1">
      <alignment horizontal="right" wrapText="1"/>
    </xf>
    <xf numFmtId="166" fontId="7" fillId="0" borderId="9" xfId="0" applyNumberFormat="1" applyFont="1" applyBorder="1" applyAlignment="1">
      <alignment horizontal="right" wrapText="1"/>
    </xf>
    <xf numFmtId="166" fontId="7" fillId="0" borderId="9" xfId="0" applyNumberFormat="1" applyFont="1" applyBorder="1" applyAlignment="1">
      <alignment horizontal="right"/>
    </xf>
    <xf numFmtId="166" fontId="7" fillId="0" borderId="8" xfId="0" applyNumberFormat="1" applyFont="1" applyBorder="1" applyAlignment="1">
      <alignment horizontal="right"/>
    </xf>
    <xf numFmtId="166" fontId="7" fillId="0" borderId="7" xfId="0" applyNumberFormat="1" applyFont="1" applyBorder="1" applyAlignment="1">
      <alignment horizontal="right"/>
    </xf>
    <xf numFmtId="166" fontId="28" fillId="0" borderId="9" xfId="0" applyNumberFormat="1" applyFont="1" applyBorder="1" applyAlignment="1">
      <alignment horizontal="right" wrapText="1"/>
    </xf>
    <xf numFmtId="166" fontId="28" fillId="0" borderId="9" xfId="0" applyNumberFormat="1" applyFont="1" applyBorder="1" applyAlignment="1">
      <alignment horizontal="right"/>
    </xf>
    <xf numFmtId="166" fontId="28" fillId="0" borderId="8" xfId="0" applyNumberFormat="1" applyFont="1" applyBorder="1" applyAlignment="1">
      <alignment horizontal="right"/>
    </xf>
    <xf numFmtId="166" fontId="28" fillId="0" borderId="7" xfId="0" applyNumberFormat="1" applyFont="1" applyBorder="1" applyAlignment="1">
      <alignment horizontal="right"/>
    </xf>
    <xf numFmtId="166" fontId="28" fillId="7" borderId="11" xfId="0" applyNumberFormat="1" applyFont="1" applyFill="1" applyBorder="1" applyAlignment="1">
      <alignment horizontal="right"/>
    </xf>
    <xf numFmtId="166" fontId="28" fillId="7" borderId="14" xfId="0" applyNumberFormat="1" applyFont="1" applyFill="1" applyBorder="1" applyAlignment="1">
      <alignment horizontal="right"/>
    </xf>
    <xf numFmtId="166" fontId="28" fillId="7" borderId="12" xfId="0" applyNumberFormat="1" applyFont="1" applyFill="1" applyBorder="1" applyAlignment="1">
      <alignment horizontal="right"/>
    </xf>
    <xf numFmtId="166" fontId="7" fillId="6" borderId="9" xfId="0" applyNumberFormat="1" applyFont="1" applyFill="1" applyBorder="1" applyAlignment="1">
      <alignment horizontal="right"/>
    </xf>
    <xf numFmtId="166" fontId="7" fillId="6" borderId="8" xfId="0" applyNumberFormat="1" applyFont="1" applyFill="1" applyBorder="1" applyAlignment="1">
      <alignment horizontal="right"/>
    </xf>
    <xf numFmtId="166" fontId="7" fillId="6" borderId="7" xfId="0" applyNumberFormat="1" applyFont="1" applyFill="1" applyBorder="1" applyAlignment="1">
      <alignment horizontal="right"/>
    </xf>
    <xf numFmtId="166" fontId="7" fillId="6" borderId="11" xfId="0" applyNumberFormat="1" applyFont="1" applyFill="1" applyBorder="1" applyAlignment="1">
      <alignment horizontal="right"/>
    </xf>
    <xf numFmtId="166" fontId="7" fillId="6" borderId="14" xfId="0" applyNumberFormat="1" applyFont="1" applyFill="1" applyBorder="1" applyAlignment="1">
      <alignment horizontal="right"/>
    </xf>
    <xf numFmtId="166" fontId="7" fillId="6" borderId="12" xfId="0" applyNumberFormat="1" applyFont="1" applyFill="1" applyBorder="1" applyAlignment="1">
      <alignment horizontal="right"/>
    </xf>
    <xf numFmtId="166" fontId="0" fillId="0" borderId="4" xfId="0" applyNumberFormat="1" applyBorder="1" applyAlignment="1">
      <alignment horizontal="right"/>
    </xf>
    <xf numFmtId="166" fontId="27" fillId="7" borderId="4" xfId="0" applyNumberFormat="1" applyFont="1" applyFill="1" applyBorder="1" applyAlignment="1">
      <alignment horizontal="right"/>
    </xf>
    <xf numFmtId="166" fontId="27" fillId="7" borderId="3" xfId="0" applyNumberFormat="1" applyFont="1" applyFill="1" applyBorder="1" applyAlignment="1">
      <alignment horizontal="right"/>
    </xf>
    <xf numFmtId="166" fontId="27" fillId="7" borderId="2" xfId="0" applyNumberFormat="1" applyFont="1" applyFill="1" applyBorder="1" applyAlignment="1">
      <alignment horizontal="right"/>
    </xf>
    <xf numFmtId="10" fontId="23" fillId="12" borderId="0" xfId="0" applyNumberFormat="1" applyFont="1" applyFill="1" applyAlignment="1">
      <alignment horizontal="center" wrapText="1"/>
    </xf>
    <xf numFmtId="0" fontId="30" fillId="0" borderId="0" xfId="0" applyFont="1"/>
    <xf numFmtId="0" fontId="30" fillId="0" borderId="30" xfId="0" applyFont="1" applyBorder="1"/>
    <xf numFmtId="0" fontId="30" fillId="0" borderId="31" xfId="0" applyFont="1" applyBorder="1"/>
    <xf numFmtId="0" fontId="30" fillId="0" borderId="31" xfId="0" quotePrefix="1" applyFont="1" applyBorder="1"/>
    <xf numFmtId="10" fontId="30" fillId="0" borderId="32" xfId="0" applyNumberFormat="1" applyFont="1" applyBorder="1"/>
    <xf numFmtId="0" fontId="30" fillId="0" borderId="33" xfId="0" applyFont="1" applyBorder="1"/>
    <xf numFmtId="0" fontId="30" fillId="0" borderId="34" xfId="0" applyFont="1" applyBorder="1"/>
    <xf numFmtId="0" fontId="30" fillId="0" borderId="34" xfId="0" quotePrefix="1" applyFont="1" applyBorder="1"/>
    <xf numFmtId="10" fontId="30" fillId="0" borderId="35" xfId="0" applyNumberFormat="1" applyFont="1" applyBorder="1"/>
    <xf numFmtId="10" fontId="30" fillId="0" borderId="0" xfId="0" applyNumberFormat="1" applyFont="1"/>
    <xf numFmtId="0" fontId="29" fillId="0" borderId="0" xfId="1" applyAlignment="1"/>
    <xf numFmtId="0" fontId="30" fillId="15" borderId="0" xfId="0" applyFont="1" applyFill="1"/>
    <xf numFmtId="0" fontId="32" fillId="0" borderId="0" xfId="0" applyFont="1"/>
    <xf numFmtId="9" fontId="30" fillId="0" borderId="0" xfId="0" applyNumberFormat="1" applyFont="1"/>
    <xf numFmtId="0" fontId="33" fillId="16" borderId="36" xfId="0" applyFont="1" applyFill="1" applyBorder="1"/>
    <xf numFmtId="0" fontId="33" fillId="16" borderId="37" xfId="0" applyFont="1" applyFill="1" applyBorder="1"/>
    <xf numFmtId="0" fontId="33" fillId="16" borderId="38" xfId="0" applyFont="1" applyFill="1" applyBorder="1"/>
    <xf numFmtId="0" fontId="34" fillId="0" borderId="0" xfId="0" applyFont="1"/>
    <xf numFmtId="10" fontId="34" fillId="0" borderId="0" xfId="0" applyNumberFormat="1" applyFont="1"/>
    <xf numFmtId="14" fontId="34" fillId="17" borderId="6" xfId="0" applyNumberFormat="1" applyFont="1" applyFill="1" applyBorder="1"/>
    <xf numFmtId="0" fontId="34" fillId="17" borderId="15" xfId="0" applyFont="1" applyFill="1" applyBorder="1"/>
    <xf numFmtId="0" fontId="34" fillId="17" borderId="5" xfId="0" applyFont="1" applyFill="1" applyBorder="1"/>
    <xf numFmtId="14" fontId="34" fillId="0" borderId="6" xfId="0" applyNumberFormat="1" applyFont="1" applyBorder="1"/>
    <xf numFmtId="0" fontId="34" fillId="0" borderId="15" xfId="0" applyFont="1" applyBorder="1"/>
    <xf numFmtId="0" fontId="34" fillId="0" borderId="5" xfId="0" applyFont="1" applyBorder="1"/>
    <xf numFmtId="0" fontId="29" fillId="15" borderId="0" xfId="1" applyFill="1" applyAlignment="1"/>
    <xf numFmtId="0" fontId="30" fillId="2" borderId="0" xfId="0" applyFont="1" applyFill="1"/>
    <xf numFmtId="3" fontId="30" fillId="0" borderId="0" xfId="0" applyNumberFormat="1" applyFont="1"/>
    <xf numFmtId="165" fontId="30" fillId="0" borderId="0" xfId="0" applyNumberFormat="1" applyFont="1"/>
    <xf numFmtId="10" fontId="32" fillId="0" borderId="32" xfId="0" applyNumberFormat="1" applyFont="1" applyBorder="1"/>
    <xf numFmtId="0" fontId="30" fillId="0" borderId="0" xfId="0" applyFont="1" applyAlignment="1">
      <alignment horizontal="right"/>
    </xf>
    <xf numFmtId="0" fontId="0" fillId="0" borderId="0" xfId="0" applyAlignment="1">
      <alignment horizontal="right"/>
    </xf>
    <xf numFmtId="0" fontId="30" fillId="2" borderId="0" xfId="0" applyFont="1" applyFill="1" applyAlignment="1">
      <alignment wrapText="1"/>
    </xf>
    <xf numFmtId="0" fontId="27" fillId="0" borderId="0" xfId="0" applyFont="1"/>
    <xf numFmtId="10" fontId="0" fillId="0" borderId="0" xfId="0" applyNumberFormat="1"/>
    <xf numFmtId="2" fontId="27" fillId="0" borderId="0" xfId="0" applyNumberFormat="1" applyFont="1"/>
    <xf numFmtId="8" fontId="0" fillId="0" borderId="0" xfId="0" applyNumberFormat="1"/>
    <xf numFmtId="166" fontId="0" fillId="0" borderId="0" xfId="0" applyNumberFormat="1"/>
    <xf numFmtId="8" fontId="27" fillId="0" borderId="0" xfId="0" applyNumberFormat="1" applyFont="1"/>
    <xf numFmtId="0" fontId="27" fillId="8" borderId="1" xfId="0" applyFont="1" applyFill="1" applyBorder="1" applyAlignment="1">
      <alignment horizontal="center"/>
    </xf>
    <xf numFmtId="0" fontId="0" fillId="0" borderId="1" xfId="0" applyBorder="1" applyAlignment="1">
      <alignment horizontal="center"/>
    </xf>
    <xf numFmtId="10" fontId="0" fillId="0" borderId="1" xfId="0" applyNumberFormat="1" applyBorder="1" applyAlignment="1">
      <alignment horizontal="center"/>
    </xf>
    <xf numFmtId="9" fontId="27" fillId="0" borderId="1" xfId="0" applyNumberFormat="1" applyFont="1" applyBorder="1" applyAlignment="1">
      <alignment horizontal="center"/>
    </xf>
    <xf numFmtId="2" fontId="27" fillId="0" borderId="1" xfId="0" applyNumberFormat="1" applyFont="1" applyBorder="1" applyAlignment="1">
      <alignment horizontal="center"/>
    </xf>
    <xf numFmtId="0" fontId="2" fillId="3" borderId="0" xfId="0" applyFont="1" applyFill="1" applyAlignment="1">
      <alignment horizontal="right"/>
    </xf>
    <xf numFmtId="5" fontId="2" fillId="3" borderId="0" xfId="0" applyNumberFormat="1" applyFont="1" applyFill="1"/>
    <xf numFmtId="5" fontId="1" fillId="3" borderId="0" xfId="0" applyNumberFormat="1" applyFont="1" applyFill="1"/>
    <xf numFmtId="5" fontId="1" fillId="3" borderId="0" xfId="0" applyNumberFormat="1" applyFont="1" applyFill="1" applyAlignment="1">
      <alignment horizontal="right"/>
    </xf>
    <xf numFmtId="0" fontId="0" fillId="0" borderId="0" xfId="0" pivotButton="1"/>
    <xf numFmtId="0" fontId="36" fillId="12" borderId="0" xfId="0" applyFont="1" applyFill="1" applyAlignment="1">
      <alignment wrapText="1"/>
    </xf>
    <xf numFmtId="0" fontId="36" fillId="12" borderId="0" xfId="0" applyFont="1" applyFill="1" applyAlignment="1">
      <alignment horizontal="left" wrapText="1"/>
    </xf>
    <xf numFmtId="0" fontId="36" fillId="12" borderId="0" xfId="0" applyFont="1" applyFill="1"/>
    <xf numFmtId="0" fontId="36" fillId="12" borderId="0" xfId="0" applyFont="1" applyFill="1" applyAlignment="1">
      <alignment horizontal="left"/>
    </xf>
    <xf numFmtId="0" fontId="35" fillId="0" borderId="1" xfId="0" applyFont="1" applyBorder="1"/>
    <xf numFmtId="0" fontId="35" fillId="0" borderId="1" xfId="0" applyFont="1" applyBorder="1" applyAlignment="1">
      <alignment horizontal="right"/>
    </xf>
    <xf numFmtId="0" fontId="37" fillId="0" borderId="8" xfId="0" applyFont="1" applyBorder="1"/>
    <xf numFmtId="0" fontId="37" fillId="0" borderId="8" xfId="0" applyFont="1" applyBorder="1" applyAlignment="1">
      <alignment horizontal="right"/>
    </xf>
    <xf numFmtId="0" fontId="38" fillId="0" borderId="0" xfId="0" applyFont="1"/>
    <xf numFmtId="0" fontId="39" fillId="0" borderId="0" xfId="0" applyFont="1"/>
    <xf numFmtId="3" fontId="1" fillId="0" borderId="14" xfId="0" applyNumberFormat="1" applyFont="1" applyBorder="1" applyAlignment="1">
      <alignment horizontal="right"/>
    </xf>
    <xf numFmtId="0" fontId="1" fillId="0" borderId="1" xfId="0" applyFont="1" applyBorder="1"/>
    <xf numFmtId="40" fontId="1" fillId="0" borderId="1" xfId="0" applyNumberFormat="1" applyFont="1" applyBorder="1" applyAlignment="1">
      <alignment horizontal="center"/>
    </xf>
    <xf numFmtId="0" fontId="2" fillId="0" borderId="0" xfId="0" applyFont="1" applyAlignment="1">
      <alignment horizontal="left"/>
    </xf>
    <xf numFmtId="3" fontId="18" fillId="0" borderId="0" xfId="0" applyNumberFormat="1" applyFont="1"/>
    <xf numFmtId="2" fontId="18" fillId="0" borderId="0" xfId="0" applyNumberFormat="1" applyFont="1"/>
    <xf numFmtId="1" fontId="18" fillId="0" borderId="0" xfId="0" applyNumberFormat="1" applyFont="1"/>
    <xf numFmtId="9" fontId="0" fillId="0" borderId="0" xfId="0" applyNumberFormat="1"/>
    <xf numFmtId="8" fontId="27" fillId="2" borderId="0" xfId="0" applyNumberFormat="1" applyFont="1" applyFill="1"/>
    <xf numFmtId="0" fontId="40" fillId="0" borderId="0" xfId="0" applyFont="1"/>
    <xf numFmtId="0" fontId="16" fillId="0" borderId="0" xfId="0" applyFont="1" applyAlignment="1">
      <alignment horizontal="center"/>
    </xf>
    <xf numFmtId="0" fontId="9" fillId="0" borderId="0" xfId="0" applyFont="1" applyAlignment="1">
      <alignment horizontal="left" wrapText="1"/>
    </xf>
    <xf numFmtId="0" fontId="1" fillId="0" borderId="0" xfId="0" applyFont="1" applyAlignment="1">
      <alignment horizontal="left" wrapText="1"/>
    </xf>
    <xf numFmtId="0" fontId="3" fillId="0" borderId="0" xfId="0" applyFont="1" applyAlignment="1">
      <alignment horizontal="center"/>
    </xf>
    <xf numFmtId="0" fontId="2" fillId="0" borderId="9" xfId="0" applyFont="1" applyBorder="1" applyAlignment="1">
      <alignment horizontal="center"/>
    </xf>
    <xf numFmtId="0" fontId="2" fillId="0" borderId="7" xfId="0" applyFont="1" applyBorder="1" applyAlignment="1">
      <alignment horizontal="center"/>
    </xf>
    <xf numFmtId="0" fontId="1" fillId="0" borderId="0" xfId="0" applyFont="1" applyAlignment="1">
      <alignment horizontal="left"/>
    </xf>
    <xf numFmtId="0" fontId="1" fillId="0" borderId="9" xfId="0" applyFont="1" applyBorder="1" applyAlignment="1">
      <alignment horizontal="center"/>
    </xf>
    <xf numFmtId="0" fontId="1" fillId="0" borderId="7" xfId="0" applyFont="1" applyBorder="1" applyAlignment="1">
      <alignment horizontal="center"/>
    </xf>
    <xf numFmtId="0" fontId="2" fillId="0" borderId="6" xfId="0" applyFont="1" applyBorder="1" applyAlignment="1">
      <alignment horizontal="center"/>
    </xf>
    <xf numFmtId="0" fontId="2" fillId="0" borderId="5" xfId="0" applyFont="1" applyBorder="1" applyAlignment="1">
      <alignment horizontal="center"/>
    </xf>
    <xf numFmtId="0" fontId="2" fillId="6" borderId="6" xfId="0" applyFont="1" applyFill="1" applyBorder="1" applyAlignment="1">
      <alignment horizontal="center"/>
    </xf>
    <xf numFmtId="0" fontId="2" fillId="6" borderId="5" xfId="0" applyFont="1" applyFill="1" applyBorder="1" applyAlignment="1">
      <alignment horizontal="center"/>
    </xf>
    <xf numFmtId="2" fontId="1" fillId="0" borderId="11" xfId="0" applyNumberFormat="1" applyFont="1" applyBorder="1" applyAlignment="1">
      <alignment horizontal="left"/>
    </xf>
    <xf numFmtId="2" fontId="1" fillId="0" borderId="12" xfId="0" applyNumberFormat="1" applyFont="1" applyBorder="1" applyAlignment="1">
      <alignment horizontal="left"/>
    </xf>
    <xf numFmtId="2" fontId="1" fillId="0" borderId="4" xfId="0" applyNumberFormat="1" applyFont="1" applyBorder="1" applyAlignment="1">
      <alignment horizontal="left"/>
    </xf>
    <xf numFmtId="2" fontId="1" fillId="0" borderId="2" xfId="0" applyNumberFormat="1" applyFont="1" applyBorder="1" applyAlignment="1">
      <alignment horizontal="left"/>
    </xf>
    <xf numFmtId="40" fontId="1" fillId="0" borderId="9" xfId="0" applyNumberFormat="1" applyFont="1" applyBorder="1" applyAlignment="1">
      <alignment horizontal="left" wrapText="1"/>
    </xf>
    <xf numFmtId="40" fontId="1" fillId="0" borderId="10" xfId="0" applyNumberFormat="1" applyFont="1" applyBorder="1" applyAlignment="1">
      <alignment horizontal="left" wrapText="1"/>
    </xf>
    <xf numFmtId="40" fontId="1" fillId="0" borderId="7" xfId="0" applyNumberFormat="1" applyFont="1" applyBorder="1" applyAlignment="1">
      <alignment horizontal="left" wrapText="1"/>
    </xf>
    <xf numFmtId="40" fontId="2" fillId="0" borderId="9" xfId="0" applyNumberFormat="1" applyFont="1" applyBorder="1" applyAlignment="1">
      <alignment horizontal="center"/>
    </xf>
    <xf numFmtId="40" fontId="2" fillId="0" borderId="10" xfId="0" applyNumberFormat="1" applyFont="1" applyBorder="1" applyAlignment="1">
      <alignment horizontal="center"/>
    </xf>
    <xf numFmtId="40" fontId="2" fillId="0" borderId="7" xfId="0" applyNumberFormat="1" applyFont="1" applyBorder="1" applyAlignment="1">
      <alignment horizontal="center"/>
    </xf>
    <xf numFmtId="40" fontId="1" fillId="0" borderId="11" xfId="0" applyNumberFormat="1" applyFont="1" applyBorder="1" applyAlignment="1">
      <alignment horizontal="center"/>
    </xf>
    <xf numFmtId="40" fontId="1" fillId="0" borderId="0" xfId="0" applyNumberFormat="1" applyFont="1" applyAlignment="1">
      <alignment horizontal="center"/>
    </xf>
    <xf numFmtId="40" fontId="1" fillId="0" borderId="12" xfId="0" applyNumberFormat="1" applyFont="1" applyBorder="1" applyAlignment="1">
      <alignment horizontal="center"/>
    </xf>
    <xf numFmtId="40" fontId="1" fillId="0" borderId="4" xfId="0" applyNumberFormat="1" applyFont="1" applyBorder="1" applyAlignment="1">
      <alignment horizontal="center"/>
    </xf>
    <xf numFmtId="40" fontId="1" fillId="0" borderId="13" xfId="0" applyNumberFormat="1" applyFont="1" applyBorder="1" applyAlignment="1">
      <alignment horizontal="center"/>
    </xf>
    <xf numFmtId="40" fontId="1" fillId="0" borderId="2" xfId="0" applyNumberFormat="1" applyFont="1" applyBorder="1" applyAlignment="1">
      <alignment horizontal="center"/>
    </xf>
    <xf numFmtId="0" fontId="2" fillId="4" borderId="0" xfId="0" applyFont="1" applyFill="1" applyAlignment="1">
      <alignment horizontal="center"/>
    </xf>
    <xf numFmtId="6" fontId="1" fillId="0" borderId="0" xfId="0" applyNumberFormat="1" applyFont="1" applyAlignment="1">
      <alignment horizontal="center"/>
    </xf>
    <xf numFmtId="6" fontId="1" fillId="0" borderId="12" xfId="0" applyNumberFormat="1" applyFont="1" applyBorder="1" applyAlignment="1">
      <alignment horizontal="center"/>
    </xf>
    <xf numFmtId="6" fontId="1" fillId="0" borderId="13" xfId="0" applyNumberFormat="1" applyFont="1" applyBorder="1" applyAlignment="1">
      <alignment horizontal="center"/>
    </xf>
    <xf numFmtId="6" fontId="1" fillId="0" borderId="2" xfId="0" applyNumberFormat="1" applyFont="1" applyBorder="1" applyAlignment="1">
      <alignment horizontal="center"/>
    </xf>
    <xf numFmtId="0" fontId="2" fillId="3" borderId="6" xfId="0" applyFont="1" applyFill="1" applyBorder="1" applyAlignment="1">
      <alignment horizontal="center"/>
    </xf>
    <xf numFmtId="0" fontId="2" fillId="3" borderId="5" xfId="0" applyFont="1" applyFill="1" applyBorder="1" applyAlignment="1">
      <alignment horizontal="center"/>
    </xf>
    <xf numFmtId="6" fontId="1" fillId="0" borderId="11" xfId="0" applyNumberFormat="1" applyFont="1" applyBorder="1" applyAlignment="1">
      <alignment horizontal="center"/>
    </xf>
    <xf numFmtId="0" fontId="1" fillId="0" borderId="11" xfId="0" applyFont="1" applyBorder="1" applyAlignment="1">
      <alignment horizontal="center"/>
    </xf>
    <xf numFmtId="0" fontId="1" fillId="0" borderId="12" xfId="0" applyFont="1" applyBorder="1" applyAlignment="1">
      <alignment horizontal="center"/>
    </xf>
    <xf numFmtId="6" fontId="1" fillId="0" borderId="10" xfId="0" applyNumberFormat="1" applyFont="1" applyBorder="1" applyAlignment="1">
      <alignment horizontal="center"/>
    </xf>
    <xf numFmtId="6" fontId="1" fillId="0" borderId="7" xfId="0" applyNumberFormat="1" applyFont="1" applyBorder="1" applyAlignment="1">
      <alignment horizontal="center"/>
    </xf>
    <xf numFmtId="6" fontId="1" fillId="0" borderId="4" xfId="0" applyNumberFormat="1" applyFont="1" applyBorder="1" applyAlignment="1">
      <alignment horizontal="center"/>
    </xf>
    <xf numFmtId="0" fontId="0" fillId="0" borderId="0" xfId="0" applyAlignment="1">
      <alignment horizontal="left"/>
    </xf>
    <xf numFmtId="6" fontId="1" fillId="0" borderId="9" xfId="0" applyNumberFormat="1" applyFont="1" applyBorder="1" applyAlignment="1">
      <alignment horizontal="center"/>
    </xf>
    <xf numFmtId="2" fontId="1" fillId="0" borderId="0" xfId="0" applyNumberFormat="1" applyFont="1" applyAlignment="1">
      <alignment horizontal="center"/>
    </xf>
    <xf numFmtId="2" fontId="1" fillId="0" borderId="0" xfId="0" applyNumberFormat="1" applyFont="1" applyAlignment="1">
      <alignment horizontal="left"/>
    </xf>
    <xf numFmtId="0" fontId="2" fillId="3" borderId="0" xfId="0" applyFont="1" applyFill="1" applyAlignment="1">
      <alignment horizontal="center"/>
    </xf>
    <xf numFmtId="0" fontId="2" fillId="0" borderId="0" xfId="0" applyFont="1" applyAlignment="1">
      <alignment horizontal="center"/>
    </xf>
    <xf numFmtId="0" fontId="1" fillId="0" borderId="12" xfId="0" applyFont="1" applyBorder="1" applyAlignment="1">
      <alignment horizontal="left"/>
    </xf>
    <xf numFmtId="165" fontId="1" fillId="0" borderId="0" xfId="0" applyNumberFormat="1" applyFont="1" applyAlignment="1">
      <alignment horizontal="center"/>
    </xf>
    <xf numFmtId="0" fontId="1" fillId="0" borderId="13" xfId="0" applyFont="1" applyBorder="1" applyAlignment="1">
      <alignment horizontal="left"/>
    </xf>
    <xf numFmtId="0" fontId="1" fillId="0" borderId="2" xfId="0" applyFont="1" applyBorder="1" applyAlignment="1">
      <alignment horizontal="left"/>
    </xf>
    <xf numFmtId="165" fontId="1" fillId="0" borderId="13" xfId="0" applyNumberFormat="1" applyFont="1" applyBorder="1" applyAlignment="1">
      <alignment horizontal="center"/>
    </xf>
    <xf numFmtId="2" fontId="1" fillId="0" borderId="13" xfId="0" applyNumberFormat="1" applyFont="1" applyBorder="1" applyAlignment="1">
      <alignment horizontal="left"/>
    </xf>
    <xf numFmtId="165" fontId="1" fillId="0" borderId="1" xfId="0" applyNumberFormat="1" applyFont="1" applyBorder="1" applyAlignment="1">
      <alignment horizontal="center"/>
    </xf>
    <xf numFmtId="0" fontId="2" fillId="11" borderId="6" xfId="0" applyFont="1" applyFill="1" applyBorder="1" applyAlignment="1">
      <alignment horizontal="center"/>
    </xf>
    <xf numFmtId="0" fontId="2" fillId="11" borderId="5" xfId="0" applyFont="1" applyFill="1" applyBorder="1" applyAlignment="1">
      <alignment horizontal="center"/>
    </xf>
    <xf numFmtId="0" fontId="2" fillId="0" borderId="15" xfId="0" applyFont="1" applyBorder="1" applyAlignment="1">
      <alignment horizontal="center"/>
    </xf>
    <xf numFmtId="0" fontId="2" fillId="7" borderId="9" xfId="0" applyFont="1" applyFill="1" applyBorder="1" applyAlignment="1">
      <alignment horizontal="center"/>
    </xf>
    <xf numFmtId="0" fontId="2" fillId="7" borderId="7" xfId="0" applyFont="1" applyFill="1" applyBorder="1" applyAlignment="1">
      <alignment horizontal="center"/>
    </xf>
    <xf numFmtId="0" fontId="2" fillId="8" borderId="9" xfId="0" applyFont="1" applyFill="1" applyBorder="1" applyAlignment="1">
      <alignment horizontal="center"/>
    </xf>
    <xf numFmtId="0" fontId="2" fillId="8" borderId="7" xfId="0" applyFont="1" applyFill="1" applyBorder="1" applyAlignment="1">
      <alignment horizontal="center"/>
    </xf>
    <xf numFmtId="0" fontId="2" fillId="6" borderId="9" xfId="0" applyFont="1" applyFill="1" applyBorder="1" applyAlignment="1">
      <alignment horizontal="center"/>
    </xf>
    <xf numFmtId="0" fontId="2" fillId="6" borderId="7" xfId="0" applyFont="1" applyFill="1" applyBorder="1" applyAlignment="1">
      <alignment horizontal="center"/>
    </xf>
    <xf numFmtId="0" fontId="2" fillId="9" borderId="9" xfId="0" applyFont="1" applyFill="1" applyBorder="1" applyAlignment="1">
      <alignment horizontal="center"/>
    </xf>
    <xf numFmtId="0" fontId="2" fillId="9" borderId="7" xfId="0" applyFont="1" applyFill="1" applyBorder="1" applyAlignment="1">
      <alignment horizontal="center"/>
    </xf>
    <xf numFmtId="2" fontId="1" fillId="0" borderId="0" xfId="0" applyNumberFormat="1" applyFont="1" applyAlignment="1">
      <alignment horizontal="left" wrapText="1"/>
    </xf>
    <xf numFmtId="2" fontId="1" fillId="0" borderId="12" xfId="0" applyNumberFormat="1" applyFont="1" applyBorder="1" applyAlignment="1">
      <alignment horizontal="left" wrapText="1"/>
    </xf>
    <xf numFmtId="0" fontId="20" fillId="0" borderId="8" xfId="0" applyFont="1" applyBorder="1" applyAlignment="1">
      <alignment vertical="center" wrapText="1"/>
    </xf>
    <xf numFmtId="0" fontId="20" fillId="0" borderId="14" xfId="0" applyFont="1" applyBorder="1" applyAlignment="1">
      <alignment vertical="center" wrapText="1"/>
    </xf>
    <xf numFmtId="0" fontId="20" fillId="0" borderId="3" xfId="0" applyFont="1" applyBorder="1" applyAlignment="1">
      <alignment vertical="center" wrapText="1"/>
    </xf>
    <xf numFmtId="0" fontId="20" fillId="0" borderId="8" xfId="0" applyFont="1" applyBorder="1" applyAlignment="1">
      <alignment vertical="center"/>
    </xf>
    <xf numFmtId="0" fontId="20" fillId="0" borderId="14" xfId="0" applyFont="1" applyBorder="1" applyAlignment="1">
      <alignment vertical="center"/>
    </xf>
    <xf numFmtId="0" fontId="20" fillId="0" borderId="3" xfId="0" applyFont="1" applyBorder="1" applyAlignment="1">
      <alignment vertical="center"/>
    </xf>
    <xf numFmtId="0" fontId="1" fillId="0" borderId="8" xfId="0" applyFont="1" applyBorder="1" applyAlignment="1">
      <alignment vertical="center"/>
    </xf>
    <xf numFmtId="0" fontId="1" fillId="0" borderId="14" xfId="0" applyFont="1" applyBorder="1" applyAlignment="1">
      <alignment vertical="center"/>
    </xf>
    <xf numFmtId="0" fontId="1" fillId="0" borderId="3" xfId="0" applyFont="1" applyBorder="1" applyAlignment="1">
      <alignment vertical="center"/>
    </xf>
    <xf numFmtId="0" fontId="18" fillId="0" borderId="6" xfId="0" applyFont="1" applyBorder="1" applyAlignment="1">
      <alignment horizontal="left"/>
    </xf>
    <xf numFmtId="0" fontId="18" fillId="0" borderId="15" xfId="0" applyFont="1" applyBorder="1" applyAlignment="1">
      <alignment horizontal="left"/>
    </xf>
    <xf numFmtId="0" fontId="18" fillId="0" borderId="5" xfId="0" applyFont="1" applyBorder="1" applyAlignment="1">
      <alignment horizontal="left"/>
    </xf>
    <xf numFmtId="0" fontId="19" fillId="0" borderId="15" xfId="0" applyFont="1" applyBorder="1" applyAlignment="1">
      <alignment horizontal="center"/>
    </xf>
    <xf numFmtId="0" fontId="19" fillId="0" borderId="5" xfId="0" applyFont="1" applyBorder="1" applyAlignment="1">
      <alignment horizontal="center"/>
    </xf>
    <xf numFmtId="0" fontId="19" fillId="3" borderId="6" xfId="0" applyFont="1" applyFill="1" applyBorder="1" applyAlignment="1">
      <alignment horizontal="center"/>
    </xf>
    <xf numFmtId="0" fontId="19" fillId="3" borderId="15" xfId="0" applyFont="1" applyFill="1" applyBorder="1" applyAlignment="1">
      <alignment horizontal="center"/>
    </xf>
    <xf numFmtId="0" fontId="19" fillId="2" borderId="0" xfId="0" applyFont="1" applyFill="1" applyAlignment="1">
      <alignment horizontal="center"/>
    </xf>
    <xf numFmtId="0" fontId="19" fillId="3" borderId="5" xfId="0" applyFont="1" applyFill="1" applyBorder="1" applyAlignment="1">
      <alignment horizontal="center"/>
    </xf>
    <xf numFmtId="0" fontId="18" fillId="0" borderId="13" xfId="0" applyFont="1" applyBorder="1" applyAlignment="1">
      <alignment horizontal="left"/>
    </xf>
    <xf numFmtId="0" fontId="18" fillId="0" borderId="2" xfId="0" applyFont="1" applyBorder="1" applyAlignment="1">
      <alignment horizontal="left"/>
    </xf>
    <xf numFmtId="0" fontId="19" fillId="0" borderId="1" xfId="0" applyFont="1" applyBorder="1" applyAlignment="1">
      <alignment horizontal="center"/>
    </xf>
    <xf numFmtId="0" fontId="18" fillId="0" borderId="13" xfId="0" applyFont="1" applyBorder="1" applyAlignment="1">
      <alignment horizontal="center"/>
    </xf>
    <xf numFmtId="0" fontId="18" fillId="0" borderId="2" xfId="0" applyFont="1" applyBorder="1" applyAlignment="1">
      <alignment horizontal="center"/>
    </xf>
    <xf numFmtId="0" fontId="18" fillId="0" borderId="0" xfId="0" applyFont="1" applyAlignment="1">
      <alignment horizontal="left"/>
    </xf>
    <xf numFmtId="0" fontId="18" fillId="0" borderId="12" xfId="0" applyFont="1" applyBorder="1" applyAlignment="1">
      <alignment horizontal="left"/>
    </xf>
    <xf numFmtId="0" fontId="18" fillId="0" borderId="10" xfId="0" applyFont="1" applyBorder="1" applyAlignment="1">
      <alignment horizontal="left"/>
    </xf>
    <xf numFmtId="0" fontId="18" fillId="0" borderId="7" xfId="0" applyFont="1" applyBorder="1" applyAlignment="1">
      <alignment horizontal="left"/>
    </xf>
    <xf numFmtId="0" fontId="0" fillId="0" borderId="6" xfId="0" applyBorder="1" applyAlignment="1">
      <alignment horizontal="left"/>
    </xf>
    <xf numFmtId="0" fontId="0" fillId="0" borderId="15" xfId="0" applyBorder="1" applyAlignment="1">
      <alignment horizontal="left"/>
    </xf>
    <xf numFmtId="0" fontId="0" fillId="0" borderId="5" xfId="0" applyBorder="1" applyAlignment="1">
      <alignment horizontal="left"/>
    </xf>
    <xf numFmtId="0" fontId="29" fillId="0" borderId="0" xfId="1" applyAlignment="1"/>
    <xf numFmtId="0" fontId="2" fillId="2" borderId="0" xfId="0" applyFont="1" applyFill="1" applyAlignment="1"/>
    <xf numFmtId="0" fontId="1" fillId="0" borderId="0" xfId="0" applyFont="1" applyAlignment="1"/>
    <xf numFmtId="0" fontId="1" fillId="0" borderId="11" xfId="0" applyFont="1" applyBorder="1" applyAlignment="1"/>
    <xf numFmtId="0" fontId="1" fillId="0" borderId="12" xfId="0" applyFont="1" applyBorder="1" applyAlignment="1"/>
    <xf numFmtId="0" fontId="1" fillId="0" borderId="4" xfId="0" applyFont="1" applyBorder="1" applyAlignment="1"/>
    <xf numFmtId="0" fontId="1" fillId="0" borderId="2" xfId="0" applyFont="1" applyBorder="1" applyAlignment="1"/>
    <xf numFmtId="0" fontId="1" fillId="0" borderId="10" xfId="0" applyFont="1" applyBorder="1" applyAlignment="1"/>
    <xf numFmtId="0" fontId="1" fillId="0" borderId="7" xfId="0" applyFont="1" applyBorder="1" applyAlignment="1"/>
    <xf numFmtId="0" fontId="1" fillId="0" borderId="13" xfId="0" applyFont="1" applyBorder="1" applyAlignment="1"/>
    <xf numFmtId="0" fontId="0" fillId="0" borderId="0" xfId="0" applyAlignment="1"/>
    <xf numFmtId="0" fontId="2" fillId="0" borderId="6" xfId="0" applyFont="1" applyBorder="1" applyAlignment="1"/>
    <xf numFmtId="0" fontId="2" fillId="0" borderId="5" xfId="0" applyFont="1" applyBorder="1" applyAlignment="1"/>
    <xf numFmtId="0" fontId="0" fillId="0" borderId="4" xfId="0" applyBorder="1" applyAlignment="1"/>
    <xf numFmtId="0" fontId="0" fillId="0" borderId="2" xfId="0" applyBorder="1" applyAlignment="1"/>
    <xf numFmtId="0" fontId="2" fillId="0" borderId="15" xfId="0" applyFont="1" applyBorder="1" applyAlignment="1"/>
    <xf numFmtId="0" fontId="9" fillId="0" borderId="10" xfId="0" applyFont="1" applyBorder="1" applyAlignment="1"/>
    <xf numFmtId="0" fontId="9" fillId="0" borderId="7" xfId="0" applyFont="1" applyBorder="1" applyAlignment="1"/>
    <xf numFmtId="0" fontId="6" fillId="0" borderId="13" xfId="0" applyFont="1" applyBorder="1" applyAlignment="1"/>
    <xf numFmtId="0" fontId="6" fillId="0" borderId="2" xfId="0" applyFont="1" applyBorder="1" applyAlignment="1"/>
    <xf numFmtId="0" fontId="2" fillId="4" borderId="0" xfId="0" applyFont="1" applyFill="1" applyAlignment="1"/>
    <xf numFmtId="0" fontId="2" fillId="0" borderId="0" xfId="0" applyFont="1" applyAlignment="1"/>
    <xf numFmtId="0" fontId="18" fillId="0" borderId="0" xfId="0" applyFont="1" applyAlignment="1"/>
    <xf numFmtId="0" fontId="7" fillId="5" borderId="6" xfId="0" applyFont="1" applyFill="1" applyBorder="1" applyAlignment="1"/>
    <xf numFmtId="0" fontId="7" fillId="5" borderId="15" xfId="0" applyFont="1" applyFill="1" applyBorder="1" applyAlignment="1"/>
    <xf numFmtId="0" fontId="7" fillId="5" borderId="5" xfId="0" applyFont="1" applyFill="1" applyBorder="1" applyAlignment="1"/>
    <xf numFmtId="0" fontId="7" fillId="5" borderId="11" xfId="0" applyFont="1" applyFill="1" applyBorder="1" applyAlignment="1"/>
    <xf numFmtId="0" fontId="7" fillId="5" borderId="0" xfId="0" applyFont="1" applyFill="1" applyAlignment="1"/>
    <xf numFmtId="0" fontId="31" fillId="15" borderId="0" xfId="0" applyFont="1" applyFill="1" applyAlignment="1"/>
    <xf numFmtId="0" fontId="30" fillId="0" borderId="0" xfId="0" applyFont="1" applyAlignment="1"/>
  </cellXfs>
  <cellStyles count="2">
    <cellStyle name="Hyperlink" xfId="1" builtinId="8"/>
    <cellStyle name="Normal" xfId="0" builtinId="0"/>
  </cellStyles>
  <dxfs count="0"/>
  <tableStyles count="0" defaultTableStyle="TableStyleMedium2" defaultPivotStyle="PivotStyleMedium9"/>
  <colors>
    <mruColors>
      <color rgb="FFFFF700"/>
      <color rgb="FFFAF7F5"/>
      <color rgb="FFFFDFCC"/>
      <color rgb="FFF2A074"/>
      <color rgb="FFFAF2ED"/>
      <color rgb="FFE8797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calcChain" Target="calcChain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pivotCacheDefinition" Target="pivotCache/pivotCacheDefinition1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24" Type="http://schemas.microsoft.com/office/2017/10/relationships/person" Target="persons/person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_rels/chart3.xml.rels><?xml version="1.0" encoding="UTF-8" standalone="yes"?>
<Relationships xmlns="http://schemas.openxmlformats.org/package/2006/relationships"><Relationship Id="rId2" Type="http://schemas.microsoft.com/office/2011/relationships/chartColorStyle" Target="colors3.xml"/><Relationship Id="rId1" Type="http://schemas.microsoft.com/office/2011/relationships/chartStyle" Target="style3.xml"/></Relationships>
</file>

<file path=xl/charts/_rels/chart4.xml.rels><?xml version="1.0" encoding="UTF-8" standalone="yes"?>
<Relationships xmlns="http://schemas.openxmlformats.org/package/2006/relationships"><Relationship Id="rId2" Type="http://schemas.microsoft.com/office/2011/relationships/chartColorStyle" Target="colors4.xml"/><Relationship Id="rId1" Type="http://schemas.microsoft.com/office/2011/relationships/chartStyle" Target="style4.xml"/></Relationships>
</file>

<file path=xl/charts/_rels/chart5.xml.rels><?xml version="1.0" encoding="UTF-8" standalone="yes"?>
<Relationships xmlns="http://schemas.openxmlformats.org/package/2006/relationships"><Relationship Id="rId2" Type="http://schemas.microsoft.com/office/2011/relationships/chartColorStyle" Target="colors5.xml"/><Relationship Id="rId1" Type="http://schemas.microsoft.com/office/2011/relationships/chartStyle" Target="style5.xml"/></Relationships>
</file>

<file path=xl/charts/_rels/chart6.xml.rels><?xml version="1.0" encoding="UTF-8" standalone="yes"?>
<Relationships xmlns="http://schemas.openxmlformats.org/package/2006/relationships"><Relationship Id="rId2" Type="http://schemas.microsoft.com/office/2011/relationships/chartColorStyle" Target="colors6.xml"/><Relationship Id="rId1" Type="http://schemas.microsoft.com/office/2011/relationships/chartStyle" Target="style6.xml"/></Relationships>
</file>

<file path=xl/charts/_rels/chart7.xml.rels><?xml version="1.0" encoding="UTF-8" standalone="yes"?>
<Relationships xmlns="http://schemas.openxmlformats.org/package/2006/relationships"><Relationship Id="rId2" Type="http://schemas.microsoft.com/office/2011/relationships/chartColorStyle" Target="colors7.xml"/><Relationship Id="rId1" Type="http://schemas.microsoft.com/office/2011/relationships/chartStyle" Target="style7.xml"/></Relationships>
</file>

<file path=xl/charts/_rels/chart8.xml.rels><?xml version="1.0" encoding="UTF-8" standalone="yes"?>
<Relationships xmlns="http://schemas.openxmlformats.org/package/2006/relationships"><Relationship Id="rId2" Type="http://schemas.microsoft.com/office/2011/relationships/chartColorStyle" Target="colors8.xml"/><Relationship Id="rId1" Type="http://schemas.microsoft.com/office/2011/relationships/chartStyle" Target="style8.xml"/></Relationships>
</file>

<file path=xl/charts/_rels/chart9.xml.rels><?xml version="1.0" encoding="UTF-8" standalone="yes"?>
<Relationships xmlns="http://schemas.openxmlformats.org/package/2006/relationships"><Relationship Id="rId2" Type="http://schemas.microsoft.com/office/2011/relationships/chartColorStyle" Target="colors9.xml"/><Relationship Id="rId1" Type="http://schemas.microsoft.com/office/2011/relationships/chartStyle" Target="style9.xml"/></Relationships>
</file>

<file path=xl/charts/_rels/chart10.xml.rels><?xml version="1.0" encoding="UTF-8" standalone="yes"?>
<Relationships xmlns="http://schemas.openxmlformats.org/package/2006/relationships"><Relationship Id="rId2" Type="http://schemas.microsoft.com/office/2011/relationships/chartColorStyle" Target="colors10.xml"/><Relationship Id="rId1" Type="http://schemas.microsoft.com/office/2011/relationships/chartStyle" Target="style10.xml"/></Relationships>
</file>

<file path=xl/charts/_rels/chart11.xml.rels><?xml version="1.0" encoding="UTF-8" standalone="yes"?>
<Relationships xmlns="http://schemas.openxmlformats.org/package/2006/relationships"><Relationship Id="rId2" Type="http://schemas.microsoft.com/office/2011/relationships/chartColorStyle" Target="colors11.xml"/><Relationship Id="rId1" Type="http://schemas.microsoft.com/office/2011/relationships/chartStyle" Target="style11.xml"/></Relationships>
</file>

<file path=xl/charts/_rels/chart12.xml.rels><?xml version="1.0" encoding="UTF-8" standalone="yes"?>
<Relationships xmlns="http://schemas.openxmlformats.org/package/2006/relationships"><Relationship Id="rId2" Type="http://schemas.microsoft.com/office/2011/relationships/chartColorStyle" Target="colors12.xml"/><Relationship Id="rId1" Type="http://schemas.microsoft.com/office/2011/relationships/chartStyle" Target="style1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1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'Current Ratio', 'Quick Ratio', 'Cash Ratio' by 'Ratio'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1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'Liquidity Ratios'!A7</c:f>
              <c:strCache>
                <c:ptCount val="1"/>
                <c:pt idx="0">
                  <c:v>Current Ratio </c:v>
                </c:pt>
              </c:strCache>
            </c:strRef>
          </c:tx>
          <c:spPr>
            <a:ln w="28575" cap="rnd">
              <a:solidFill>
                <a:srgbClr val="FF0000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Ratios'!$B$5:$G$5</c:f>
              <c:strCache>
                <c:ptCount val="6"/>
                <c:pt idx="0">
                  <c:v>Formula 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strCache>
            </c:strRef>
          </c:cat>
          <c:val>
            <c:numRef>
              <c:f>'Liquidity Ratios'!$B$7:$G$7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1.377274724445319</c:v>
                </c:pt>
                <c:pt idx="2">
                  <c:v>1.2503966568755824</c:v>
                </c:pt>
                <c:pt idx="3">
                  <c:v>1.3373024847126471</c:v>
                </c:pt>
                <c:pt idx="4">
                  <c:v>1.2357601773936775</c:v>
                </c:pt>
                <c:pt idx="5">
                  <c:v>1.1232089821177815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BE6608F2-7061-45B0-9760-AB24AD185D6B}"/>
            </c:ext>
          </c:extLst>
        </c:ser>
        <c:ser>
          <c:idx val="1"/>
          <c:order val="1"/>
          <c:tx>
            <c:strRef>
              <c:f>'Liquidity Ratios'!A8</c:f>
              <c:strCache>
                <c:ptCount val="1"/>
                <c:pt idx="0">
                  <c:v>Quick Ratio </c:v>
                </c:pt>
              </c:strCache>
            </c:strRef>
          </c:tx>
          <c:spPr>
            <a:ln w="28575" cap="rnd">
              <a:solidFill>
                <a:srgbClr val="4D93D9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Ratios'!$B$5:$G$5</c:f>
              <c:strCache>
                <c:ptCount val="6"/>
                <c:pt idx="0">
                  <c:v>Formula 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strCache>
            </c:strRef>
          </c:cat>
          <c:val>
            <c:numRef>
              <c:f>'Liquidity Ratios'!$B$8:$G$8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1.2280951212871887</c:v>
                </c:pt>
                <c:pt idx="2">
                  <c:v>1.0675791249365938</c:v>
                </c:pt>
                <c:pt idx="3">
                  <c:v>0.99457917516586025</c:v>
                </c:pt>
                <c:pt idx="4">
                  <c:v>0.89263418239708892</c:v>
                </c:pt>
                <c:pt idx="5">
                  <c:v>0.75682233351145134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9017A047-BEF2-49F1-B23C-DEAB4D1193D5}"/>
            </c:ext>
          </c:extLst>
        </c:ser>
        <c:ser>
          <c:idx val="2"/>
          <c:order val="2"/>
          <c:tx>
            <c:strRef>
              <c:f>'Liquidity Ratios'!A9</c:f>
              <c:strCache>
                <c:ptCount val="1"/>
                <c:pt idx="0">
                  <c:v>Cash Ratio </c:v>
                </c:pt>
              </c:strCache>
            </c:strRef>
          </c:tx>
          <c:spPr>
            <a:ln w="28575" cap="rnd">
              <a:solidFill>
                <a:srgbClr val="ADADAD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'Liquidity Ratios'!$B$5:$G$5</c:f>
              <c:strCache>
                <c:ptCount val="6"/>
                <c:pt idx="0">
                  <c:v>Formula </c:v>
                </c:pt>
                <c:pt idx="1">
                  <c:v>2024</c:v>
                </c:pt>
                <c:pt idx="2">
                  <c:v>2023</c:v>
                </c:pt>
                <c:pt idx="3">
                  <c:v>2022</c:v>
                </c:pt>
                <c:pt idx="4">
                  <c:v>2021</c:v>
                </c:pt>
                <c:pt idx="5">
                  <c:v>2020</c:v>
                </c:pt>
              </c:strCache>
            </c:strRef>
          </c:cat>
          <c:val>
            <c:numRef>
              <c:f>'Liquidity Ratios'!$B$9:$G$9</c:f>
              <c:numCache>
                <c:formatCode>0.00</c:formatCode>
                <c:ptCount val="6"/>
                <c:pt idx="0" formatCode="General">
                  <c:v>0</c:v>
                </c:pt>
                <c:pt idx="1">
                  <c:v>0.89519218068947304</c:v>
                </c:pt>
                <c:pt idx="2">
                  <c:v>0.69534835026129216</c:v>
                </c:pt>
                <c:pt idx="3">
                  <c:v>0.40649245092485409</c:v>
                </c:pt>
                <c:pt idx="4">
                  <c:v>0.2326586308846941</c:v>
                </c:pt>
                <c:pt idx="5">
                  <c:v>0.20561755166457482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D85FDE7B-6C6D-41A3-BB69-D1106B4B981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160803847"/>
        <c:axId val="160809991"/>
      </c:lineChart>
      <c:catAx>
        <c:axId val="16080384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Ratio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9991"/>
        <c:crosses val="autoZero"/>
        <c:auto val="1"/>
        <c:lblAlgn val="ctr"/>
        <c:lblOffset val="100"/>
        <c:noMultiLvlLbl val="0"/>
      </c:catAx>
      <c:valAx>
        <c:axId val="1608099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60803847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t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1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'Leverage (Solvency Ratio)'!$B$30</c:f>
              <c:strCache>
                <c:ptCount val="1"/>
                <c:pt idx="0">
                  <c:v>Debt-to-Equity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Ratio)'!A31:A37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Ratio)'!$B$31:$B$37</c:f>
              <c:numCache>
                <c:formatCode>#,##0.00_);[Red]\(#,##0.00\)</c:formatCode>
                <c:ptCount val="7"/>
                <c:pt idx="0">
                  <c:v>3.35</c:v>
                </c:pt>
                <c:pt idx="1">
                  <c:v>2.5499999999999998</c:v>
                </c:pt>
                <c:pt idx="2">
                  <c:v>2.42</c:v>
                </c:pt>
                <c:pt idx="3">
                  <c:v>2.02</c:v>
                </c:pt>
                <c:pt idx="4">
                  <c:v>1.85</c:v>
                </c:pt>
                <c:pt idx="5">
                  <c:v>1.44</c:v>
                </c:pt>
                <c:pt idx="6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835E-41F1-8BDD-F65C85F3F5C0}"/>
            </c:ext>
          </c:extLst>
        </c:ser>
        <c:ser>
          <c:idx val="1"/>
          <c:order val="1"/>
          <c:tx>
            <c:strRef>
              <c:f>'Leverage (Solvency Ratio)'!$C$30</c:f>
              <c:strCache>
                <c:ptCount val="1"/>
                <c:pt idx="0">
                  <c:v>Debt-to-Assets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Ratio)'!A31:A37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Ratio)'!$C$31:$C$37</c:f>
              <c:numCache>
                <c:formatCode>#,##0.00_);[Red]\(#,##0.00\)</c:formatCode>
                <c:ptCount val="7"/>
                <c:pt idx="0">
                  <c:v>0.77</c:v>
                </c:pt>
                <c:pt idx="1">
                  <c:v>0.72</c:v>
                </c:pt>
                <c:pt idx="2">
                  <c:v>0.71</c:v>
                </c:pt>
                <c:pt idx="3">
                  <c:v>0.67</c:v>
                </c:pt>
                <c:pt idx="4">
                  <c:v>0.65</c:v>
                </c:pt>
                <c:pt idx="5">
                  <c:v>0.59</c:v>
                </c:pt>
                <c:pt idx="6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835E-41F1-8BDD-F65C85F3F5C0}"/>
            </c:ext>
          </c:extLst>
        </c:ser>
        <c:ser>
          <c:idx val="2"/>
          <c:order val="2"/>
          <c:tx>
            <c:strRef>
              <c:f>'Leverage (Solvency Ratio)'!$D$30</c:f>
              <c:strCache>
                <c:ptCount val="1"/>
                <c:pt idx="0">
                  <c:v>Equity Ratio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Ratio)'!A31:A37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Ratio)'!$D$31:$D$37</c:f>
              <c:numCache>
                <c:formatCode>#,##0.00_);[Red]\(#,##0.00\)</c:formatCode>
                <c:ptCount val="7"/>
                <c:pt idx="0">
                  <c:v>0.23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0.33</c:v>
                </c:pt>
                <c:pt idx="4">
                  <c:v>0.35</c:v>
                </c:pt>
                <c:pt idx="5">
                  <c:v>0.41</c:v>
                </c:pt>
                <c:pt idx="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4-835E-41F1-8BDD-F65C85F3F5C0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85896"/>
        <c:axId val="99923464"/>
      </c:lineChart>
      <c:catAx>
        <c:axId val="9168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3464"/>
        <c:crosses val="autoZero"/>
        <c:auto val="1"/>
        <c:lblAlgn val="ctr"/>
        <c:lblOffset val="100"/>
        <c:noMultiLvlLbl val="0"/>
      </c:catAx>
      <c:valAx>
        <c:axId val="9992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5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3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EBITDA </a:t>
            </a:r>
          </a:p>
        </c:rich>
      </c:tx>
      <c:layout>
        <c:manualLayout>
          <c:xMode val="edge"/>
          <c:yMode val="edge"/>
          <c:x val="0.44628228611604498"/>
          <c:y val="2.9012044270833332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EBITDA!A7</c:f>
              <c:strCache>
                <c:ptCount val="1"/>
                <c:pt idx="0">
                  <c:v> EBITDA</c:v>
                </c:pt>
              </c:strCache>
            </c:strRef>
          </c:tx>
          <c:spPr>
            <a:solidFill>
              <a:srgbClr val="FBE2D5"/>
            </a:solidFill>
            <a:ln>
              <a:solidFill>
                <a:srgbClr val="000000"/>
              </a:solidFill>
              <a:prstDash val="solid"/>
            </a:ln>
            <a:effectLst/>
          </c:spPr>
          <c:invertIfNegative val="0"/>
          <c:dPt>
            <c:idx val="0"/>
            <c:invertIfNegative val="0"/>
            <c:bubble3D val="0"/>
            <c:spPr>
              <a:solidFill>
                <a:srgbClr val="7E350E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8-ABD5-49A5-8822-AE22F6EFF33B}"/>
              </c:ext>
            </c:extLst>
          </c:dPt>
          <c:dPt>
            <c:idx val="1"/>
            <c:invertIfNegative val="0"/>
            <c:bubble3D val="0"/>
            <c:spPr>
              <a:solidFill>
                <a:srgbClr val="BD5015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7-ABD5-49A5-8822-AE22F6EFF33B}"/>
              </c:ext>
            </c:extLst>
          </c:dPt>
          <c:dPt>
            <c:idx val="2"/>
            <c:invertIfNegative val="0"/>
            <c:bubble3D val="0"/>
            <c:spPr>
              <a:solidFill>
                <a:srgbClr val="F1A983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6-ABD5-49A5-8822-AE22F6EFF33B}"/>
              </c:ext>
            </c:extLst>
          </c:dPt>
          <c:dPt>
            <c:idx val="3"/>
            <c:invertIfNegative val="0"/>
            <c:bubble3D val="0"/>
            <c:spPr>
              <a:solidFill>
                <a:srgbClr val="F5C6AB"/>
              </a:solidFill>
              <a:ln>
                <a:solidFill>
                  <a:srgbClr val="000000"/>
                </a:solidFill>
                <a:prstDash val="solid"/>
              </a:ln>
              <a:effectLst/>
            </c:spPr>
            <c:extLst>
              <c:ext xmlns:c16="http://schemas.microsoft.com/office/drawing/2014/chart" uri="{C3380CC4-5D6E-409C-BE32-E72D297353CC}">
                <c16:uniqueId val="{00000009-ABD5-49A5-8822-AE22F6EFF33B}"/>
              </c:ext>
            </c:extLst>
          </c:dPt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1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trendline>
            <c:name> EBITDA</c:name>
            <c:spPr>
              <a:ln w="19050" cap="rnd">
                <a:solidFill>
                  <a:srgbClr val="45D65A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strRef>
              <c:f>EBITDA!#REF!</c:f>
              <c:strCache>
                <c:ptCount val="1"/>
                <c:pt idx="0">
                  <c:v>#REF!</c:v>
                </c:pt>
              </c:strCache>
            </c:strRef>
          </c:cat>
          <c:val>
            <c:numRef>
              <c:f>EBITDA!$B$7:$F$7</c:f>
              <c:numCache>
                <c:formatCode>"$"#,##0_);[Red]\("$"#,##0\)</c:formatCode>
                <c:ptCount val="5"/>
                <c:pt idx="0">
                  <c:v>333032</c:v>
                </c:pt>
                <c:pt idx="1">
                  <c:v>263198</c:v>
                </c:pt>
                <c:pt idx="2">
                  <c:v>211936</c:v>
                </c:pt>
                <c:pt idx="3">
                  <c:v>141212</c:v>
                </c:pt>
                <c:pt idx="4">
                  <c:v>125400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A983A22-0092-43A6-A04A-B5FD5A9DCB3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33"/>
        <c:overlap val="-30"/>
        <c:axId val="1711695368"/>
        <c:axId val="1711728136"/>
      </c:barChart>
      <c:catAx>
        <c:axId val="1711695368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Years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800" b="0" i="0" u="none" strike="noStrike" kern="1200" baseline="0">
                <a:solidFill>
                  <a:srgbClr val="ADADAD"/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711728136"/>
        <c:crosses val="autoZero"/>
        <c:auto val="1"/>
        <c:lblAlgn val="ctr"/>
        <c:lblOffset val="100"/>
        <c:noMultiLvlLbl val="0"/>
      </c:catAx>
      <c:valAx>
        <c:axId val="1711728136"/>
        <c:scaling>
          <c:orientation val="minMax"/>
        </c:scaling>
        <c:delete val="1"/>
        <c:axPos val="l"/>
        <c:numFmt formatCode="&quot;$&quot;#,##0_);[Red]\(&quot;$&quot;#,##0\)" sourceLinked="1"/>
        <c:majorTickMark val="none"/>
        <c:minorTickMark val="none"/>
        <c:tickLblPos val="nextTo"/>
        <c:crossAx val="1711695368"/>
        <c:crossesAt val="1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38100" cap="flat" cmpd="sng" algn="ctr">
      <a:noFill/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4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Liquidity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Graphs'!A3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D4DB-4900-98C2-E06C97FF64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D4DB-4900-98C2-E06C97FF64E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D4DB-4900-98C2-E06C97FF6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Graphs'!$B$3:$F$3</c:f>
              <c:numCache>
                <c:formatCode>General</c:formatCode>
                <c:ptCount val="5"/>
                <c:pt idx="0">
                  <c:v>1.1200000000000001</c:v>
                </c:pt>
                <c:pt idx="1">
                  <c:v>1.24</c:v>
                </c:pt>
                <c:pt idx="2">
                  <c:v>1.34</c:v>
                </c:pt>
                <c:pt idx="3">
                  <c:v>1.25</c:v>
                </c:pt>
                <c:pt idx="4">
                  <c:v>1.38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A53E5D5-7449-4E8D-8FDE-E1D75CA6A487}"/>
            </c:ext>
          </c:extLst>
        </c:ser>
        <c:ser>
          <c:idx val="1"/>
          <c:order val="1"/>
          <c:tx>
            <c:strRef>
              <c:f>'Ratio Graphs'!A4</c:f>
              <c:strCache>
                <c:ptCount val="1"/>
                <c:pt idx="0">
                  <c:v>Quick Ratio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D4DB-4900-98C2-E06C97FF64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D4DB-4900-98C2-E06C97FF64E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D4DB-4900-98C2-E06C97FF6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Graphs'!$B$4:$F$4</c:f>
              <c:numCache>
                <c:formatCode>General</c:formatCode>
                <c:ptCount val="5"/>
                <c:pt idx="0">
                  <c:v>0.76</c:v>
                </c:pt>
                <c:pt idx="1">
                  <c:v>0.89</c:v>
                </c:pt>
                <c:pt idx="2">
                  <c:v>1</c:v>
                </c:pt>
                <c:pt idx="3">
                  <c:v>1.07</c:v>
                </c:pt>
                <c:pt idx="4">
                  <c:v>1.23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5B3B3BBC-49AC-4DC6-BDB7-D8ABA48F19C1}"/>
            </c:ext>
          </c:extLst>
        </c:ser>
        <c:ser>
          <c:idx val="2"/>
          <c:order val="2"/>
          <c:tx>
            <c:strRef>
              <c:f>'Ratio Graphs'!A5</c:f>
              <c:strCache>
                <c:ptCount val="1"/>
                <c:pt idx="0">
                  <c:v>Cash Ratio</c:v>
                </c:pt>
              </c:strCache>
            </c:strRef>
          </c:tx>
          <c:spPr>
            <a:solidFill>
              <a:srgbClr val="43AEE2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D4DB-4900-98C2-E06C97FF64EA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D4DB-4900-98C2-E06C97FF64EA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D4DB-4900-98C2-E06C97FF64EA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Graphs'!$B$2:$F$2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Graphs'!$B$5:$F$5</c:f>
              <c:numCache>
                <c:formatCode>General</c:formatCode>
                <c:ptCount val="5"/>
                <c:pt idx="0">
                  <c:v>0.21</c:v>
                </c:pt>
                <c:pt idx="1">
                  <c:v>0.23</c:v>
                </c:pt>
                <c:pt idx="2">
                  <c:v>0.42</c:v>
                </c:pt>
                <c:pt idx="3">
                  <c:v>0.7</c:v>
                </c:pt>
                <c:pt idx="4">
                  <c:v>0.9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9D0ED23-44B1-4523-9501-894BB1226F79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0"/>
        <c:overlap val="-30"/>
        <c:axId val="144322055"/>
        <c:axId val="144328199"/>
      </c:barChart>
      <c:catAx>
        <c:axId val="14432205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8199"/>
        <c:crosses val="autoZero"/>
        <c:auto val="1"/>
        <c:lblAlgn val="ctr"/>
        <c:lblOffset val="100"/>
        <c:noMultiLvlLbl val="0"/>
      </c:catAx>
      <c:valAx>
        <c:axId val="144328199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2055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5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Leverage (Solvency)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Graphs'!A9</c:f>
              <c:strCache>
                <c:ptCount val="1"/>
                <c:pt idx="0">
                  <c:v>Debt-to-Equity*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654A-4B49-94B8-4B3D56F043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1-654A-4B49-94B8-4B3D56F043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54A-4B49-94B8-4B3D56F043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Graphs'!$B$9:$F$9</c:f>
              <c:numCache>
                <c:formatCode>General</c:formatCode>
                <c:ptCount val="5"/>
                <c:pt idx="0">
                  <c:v>1.37</c:v>
                </c:pt>
                <c:pt idx="1">
                  <c:v>1.27</c:v>
                </c:pt>
                <c:pt idx="2">
                  <c:v>0.9</c:v>
                </c:pt>
                <c:pt idx="3">
                  <c:v>0.55000000000000004</c:v>
                </c:pt>
                <c:pt idx="4">
                  <c:v>0.38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28A58977-611F-4D21-BB7C-179506884892}"/>
            </c:ext>
          </c:extLst>
        </c:ser>
        <c:ser>
          <c:idx val="1"/>
          <c:order val="1"/>
          <c:tx>
            <c:strRef>
              <c:f>'Ratio Graphs'!A10</c:f>
              <c:strCache>
                <c:ptCount val="1"/>
                <c:pt idx="0">
                  <c:v>Debt-to-Assets*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54A-4B49-94B8-4B3D56F043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54A-4B49-94B8-4B3D56F043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5-654A-4B49-94B8-4B3D56F04305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Graphs'!$B$10:$F$10</c:f>
              <c:numCache>
                <c:formatCode>General</c:formatCode>
                <c:ptCount val="5"/>
                <c:pt idx="0">
                  <c:v>0.72</c:v>
                </c:pt>
                <c:pt idx="1">
                  <c:v>0.71</c:v>
                </c:pt>
                <c:pt idx="2">
                  <c:v>0.67</c:v>
                </c:pt>
                <c:pt idx="3">
                  <c:v>0.65</c:v>
                </c:pt>
                <c:pt idx="4">
                  <c:v>0.59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BEBD79AD-5EA9-4E2E-8D56-E31146B97B3B}"/>
            </c:ext>
          </c:extLst>
        </c:ser>
        <c:ser>
          <c:idx val="2"/>
          <c:order val="2"/>
          <c:tx>
            <c:strRef>
              <c:f>'Ratio Graphs'!A11</c:f>
              <c:strCache>
                <c:ptCount val="1"/>
                <c:pt idx="0">
                  <c:v>Equity Ratio*</c:v>
                </c:pt>
              </c:strCache>
            </c:strRef>
          </c:tx>
          <c:spPr>
            <a:solidFill>
              <a:srgbClr val="61CBF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6-654A-4B49-94B8-4B3D56F04305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7-654A-4B49-94B8-4B3D56F04305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0-ACE6-4A79-BB61-3BA1A76E8786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Graphs'!$B$8:$F$8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Graphs'!$B$11:$F$11</c:f>
              <c:numCache>
                <c:formatCode>General</c:formatCode>
                <c:ptCount val="5"/>
                <c:pt idx="0">
                  <c:v>0.28000000000000003</c:v>
                </c:pt>
                <c:pt idx="1">
                  <c:v>0.28999999999999998</c:v>
                </c:pt>
                <c:pt idx="2">
                  <c:v>0.33</c:v>
                </c:pt>
                <c:pt idx="3">
                  <c:v>0.35</c:v>
                </c:pt>
                <c:pt idx="4">
                  <c:v>0.41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1FB60E4-8C3B-47D4-8A8C-5666002A2CBE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30"/>
        <c:axId val="2046110727"/>
        <c:axId val="2046116871"/>
      </c:barChart>
      <c:catAx>
        <c:axId val="2046110727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116871"/>
        <c:crosses val="autoZero"/>
        <c:auto val="1"/>
        <c:lblAlgn val="ctr"/>
        <c:lblOffset val="100"/>
        <c:noMultiLvlLbl val="0"/>
      </c:catAx>
      <c:valAx>
        <c:axId val="204611687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46110727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6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Efficiency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Graphs'!A16</c:f>
              <c:strCache>
                <c:ptCount val="1"/>
                <c:pt idx="0">
                  <c:v>Asset Turnover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A-7A07-45C1-8836-F62D188DE0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F-7A07-45C1-8836-F62D188DE0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D-7A07-45C1-8836-F62D188DE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Graphs'!$B$15:$F$15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Graphs'!$B$16:$F$16</c:f>
              <c:numCache>
                <c:formatCode>General</c:formatCode>
                <c:ptCount val="5"/>
                <c:pt idx="0">
                  <c:v>1.3</c:v>
                </c:pt>
                <c:pt idx="1">
                  <c:v>1.3</c:v>
                </c:pt>
                <c:pt idx="2">
                  <c:v>1.32</c:v>
                </c:pt>
                <c:pt idx="3">
                  <c:v>1.23</c:v>
                </c:pt>
                <c:pt idx="4">
                  <c:v>1.1100000000000001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9A849DC-2287-48C5-9B0A-802F55830D81}"/>
            </c:ext>
          </c:extLst>
        </c:ser>
        <c:ser>
          <c:idx val="1"/>
          <c:order val="1"/>
          <c:tx>
            <c:strRef>
              <c:f>'Ratio Graphs'!A17</c:f>
              <c:strCache>
                <c:ptCount val="1"/>
                <c:pt idx="0">
                  <c:v>Receivables Turnover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9-7A07-45C1-8836-F62D188DE0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B-7A07-45C1-8836-F62D188DE0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E-7A07-45C1-8836-F62D188DE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Graphs'!$B$15:$F$15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Graphs'!$B$17:$F$17</c:f>
              <c:numCache>
                <c:formatCode>General</c:formatCode>
                <c:ptCount val="5"/>
                <c:pt idx="0">
                  <c:v>6.91</c:v>
                </c:pt>
                <c:pt idx="1">
                  <c:v>6.91</c:v>
                </c:pt>
                <c:pt idx="2">
                  <c:v>7.16</c:v>
                </c:pt>
                <c:pt idx="3">
                  <c:v>7.63</c:v>
                </c:pt>
                <c:pt idx="4">
                  <c:v>8.4600000000000009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8B65A480-8315-4A52-B217-EAC3D629DBCD}"/>
            </c:ext>
          </c:extLst>
        </c:ser>
        <c:ser>
          <c:idx val="2"/>
          <c:order val="2"/>
          <c:tx>
            <c:strRef>
              <c:f>'Ratio Graphs'!A18</c:f>
              <c:strCache>
                <c:ptCount val="1"/>
                <c:pt idx="0">
                  <c:v>Accounts Payable Turnover</c:v>
                </c:pt>
              </c:strCache>
            </c:strRef>
          </c:tx>
          <c:spPr>
            <a:solidFill>
              <a:srgbClr val="61CBF3"/>
            </a:solidFill>
            <a:ln>
              <a:noFill/>
            </a:ln>
            <a:effectLst/>
          </c:spPr>
          <c:invertIfNegative val="0"/>
          <c:dLbls>
            <c:dLbl>
              <c:idx val="1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10-7A07-45C1-8836-F62D188DE070}"/>
                </c:ext>
              </c:extLst>
            </c:dLbl>
            <c:dLbl>
              <c:idx val="2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C-7A07-45C1-8836-F62D188DE070}"/>
                </c:ext>
              </c:extLst>
            </c:dLbl>
            <c:dLbl>
              <c:idx val="3"/>
              <c:delete val="1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8-7A07-45C1-8836-F62D188DE070}"/>
                </c:ext>
              </c:extLst>
            </c:dLbl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Graphs'!$B$15:$F$15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Graphs'!$B$18:$F$18</c:f>
              <c:numCache>
                <c:formatCode>General</c:formatCode>
                <c:ptCount val="5"/>
                <c:pt idx="0">
                  <c:v>10.08</c:v>
                </c:pt>
                <c:pt idx="1">
                  <c:v>10.08</c:v>
                </c:pt>
                <c:pt idx="2">
                  <c:v>11.03</c:v>
                </c:pt>
                <c:pt idx="3">
                  <c:v>11.5</c:v>
                </c:pt>
                <c:pt idx="4">
                  <c:v>12.08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3904CFD-67F9-49A2-846D-41F504A6BF1E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60"/>
        <c:overlap val="-30"/>
        <c:axId val="425162760"/>
        <c:axId val="425182216"/>
      </c:barChart>
      <c:catAx>
        <c:axId val="425162760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82216"/>
        <c:crosses val="autoZero"/>
        <c:auto val="1"/>
        <c:lblAlgn val="ctr"/>
        <c:lblOffset val="100"/>
        <c:noMultiLvlLbl val="0"/>
      </c:catAx>
      <c:valAx>
        <c:axId val="4251822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5162760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7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Profitability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Graphs'!A22</c:f>
              <c:strCache>
                <c:ptCount val="1"/>
                <c:pt idx="0">
                  <c:v>Gross Profit Margin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Graphs'!$B$22:$F$22</c:f>
              <c:numCache>
                <c:formatCode>General</c:formatCode>
                <c:ptCount val="5"/>
                <c:pt idx="0">
                  <c:v>0.14599999999999999</c:v>
                </c:pt>
                <c:pt idx="1">
                  <c:v>0.14399999999999999</c:v>
                </c:pt>
                <c:pt idx="2">
                  <c:v>0.155</c:v>
                </c:pt>
                <c:pt idx="3">
                  <c:v>0.17100000000000001</c:v>
                </c:pt>
                <c:pt idx="4">
                  <c:v>0.20100000000000001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5636B70-441D-4FED-BC87-754E05A0D090}"/>
            </c:ext>
          </c:extLst>
        </c:ser>
        <c:ser>
          <c:idx val="1"/>
          <c:order val="1"/>
          <c:tx>
            <c:strRef>
              <c:f>'Ratio Graphs'!A23</c:f>
              <c:strCache>
                <c:ptCount val="1"/>
                <c:pt idx="0">
                  <c:v>Operating Profit Margin</c:v>
                </c:pt>
              </c:strCache>
            </c:strRef>
          </c:tx>
          <c:spPr>
            <a:solidFill>
              <a:srgbClr val="E49EDD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Graphs'!$B$23:$F$23</c:f>
              <c:numCache>
                <c:formatCode>General</c:formatCode>
                <c:ptCount val="5"/>
                <c:pt idx="0">
                  <c:v>7.5999999999999998E-2</c:v>
                </c:pt>
                <c:pt idx="1">
                  <c:v>7.5999999999999998E-2</c:v>
                </c:pt>
                <c:pt idx="2">
                  <c:v>0.09</c:v>
                </c:pt>
                <c:pt idx="3">
                  <c:v>0.104</c:v>
                </c:pt>
                <c:pt idx="4">
                  <c:v>0.125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A22921B-2AFD-4AA7-A665-6C6D53D88AE9}"/>
            </c:ext>
          </c:extLst>
        </c:ser>
        <c:ser>
          <c:idx val="2"/>
          <c:order val="2"/>
          <c:tx>
            <c:strRef>
              <c:f>'Ratio Graphs'!A24</c:f>
              <c:strCache>
                <c:ptCount val="1"/>
                <c:pt idx="0">
                  <c:v>Net Profit Margin</c:v>
                </c:pt>
              </c:strCache>
            </c:strRef>
          </c:tx>
          <c:spPr>
            <a:solidFill>
              <a:schemeClr val="accent3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Graphs'!$B$24:$F$24</c:f>
              <c:numCache>
                <c:formatCode>General</c:formatCode>
                <c:ptCount val="5"/>
                <c:pt idx="0">
                  <c:v>3.5000000000000003E-2</c:v>
                </c:pt>
                <c:pt idx="1">
                  <c:v>4.2999999999999997E-2</c:v>
                </c:pt>
                <c:pt idx="2">
                  <c:v>5.5E-2</c:v>
                </c:pt>
                <c:pt idx="3">
                  <c:v>7.0000000000000007E-2</c:v>
                </c:pt>
                <c:pt idx="4">
                  <c:v>0.122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B4502651-8A79-452F-84DB-3A1CA395F609}"/>
            </c:ext>
          </c:extLst>
        </c:ser>
        <c:ser>
          <c:idx val="3"/>
          <c:order val="3"/>
          <c:tx>
            <c:strRef>
              <c:f>'Ratio Graphs'!A25</c:f>
              <c:strCache>
                <c:ptCount val="1"/>
                <c:pt idx="0">
                  <c:v>Return on Assets (ROA)</c:v>
                </c:pt>
              </c:strCache>
            </c:strRef>
          </c:tx>
          <c:spPr>
            <a:solidFill>
              <a:schemeClr val="accent4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Graphs'!$B$25:$F$25</c:f>
              <c:numCache>
                <c:formatCode>General</c:formatCode>
                <c:ptCount val="5"/>
                <c:pt idx="0">
                  <c:v>4.4999999999999998E-2</c:v>
                </c:pt>
                <c:pt idx="1">
                  <c:v>0.05</c:v>
                </c:pt>
                <c:pt idx="2">
                  <c:v>6.7000000000000004E-2</c:v>
                </c:pt>
                <c:pt idx="3">
                  <c:v>7.8E-2</c:v>
                </c:pt>
                <c:pt idx="4">
                  <c:v>0.128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DD629CD6-D302-46B1-B726-C74A0F265F8D}"/>
            </c:ext>
          </c:extLst>
        </c:ser>
        <c:ser>
          <c:idx val="4"/>
          <c:order val="4"/>
          <c:tx>
            <c:strRef>
              <c:f>'Ratio Graphs'!A26</c:f>
              <c:strCache>
                <c:ptCount val="1"/>
                <c:pt idx="0">
                  <c:v>Return on Equity (ROE)</c:v>
                </c:pt>
              </c:strCache>
            </c:strRef>
          </c:tx>
          <c:spPr>
            <a:solidFill>
              <a:schemeClr val="accent5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5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Graphs'!$B$21:$F$21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Graphs'!$B$26:$F$26</c:f>
              <c:numCache>
                <c:formatCode>General</c:formatCode>
                <c:ptCount val="5"/>
                <c:pt idx="0">
                  <c:v>0.16</c:v>
                </c:pt>
                <c:pt idx="1">
                  <c:v>0.17100000000000001</c:v>
                </c:pt>
                <c:pt idx="2">
                  <c:v>0.20200000000000001</c:v>
                </c:pt>
                <c:pt idx="3">
                  <c:v>0.222</c:v>
                </c:pt>
                <c:pt idx="4">
                  <c:v>0.312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5F92D3B5-0EAC-4D46-B99F-02DE5EADBF0D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200"/>
        <c:overlap val="-30"/>
        <c:axId val="2012920839"/>
        <c:axId val="416251911"/>
      </c:barChart>
      <c:catAx>
        <c:axId val="2012920839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5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6251911"/>
        <c:crosses val="autoZero"/>
        <c:auto val="1"/>
        <c:lblAlgn val="ctr"/>
        <c:lblOffset val="100"/>
        <c:noMultiLvlLbl val="0"/>
      </c:catAx>
      <c:valAx>
        <c:axId val="41625191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20839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layout>
        <c:manualLayout>
          <c:xMode val="edge"/>
          <c:yMode val="edge"/>
          <c:x val="6.3050317437555403E-2"/>
          <c:y val="0.88461520902823365"/>
          <c:w val="0.60550899430254146"/>
          <c:h val="0.1153849518810148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8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Market Value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'Ratio Graphs'!A31</c:f>
              <c:strCache>
                <c:ptCount val="1"/>
                <c:pt idx="0">
                  <c:v>EPS - Basic</c:v>
                </c:pt>
              </c:strCache>
            </c:strRef>
          </c:tx>
          <c:spPr>
            <a:ln w="28575" cap="rnd">
              <a:solidFill>
                <a:srgbClr val="3C7D22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Graphs'!$B$31:$F$31</c:f>
              <c:numCache>
                <c:formatCode>General</c:formatCode>
                <c:ptCount val="5"/>
                <c:pt idx="0">
                  <c:v>1.55</c:v>
                </c:pt>
                <c:pt idx="1">
                  <c:v>2.15</c:v>
                </c:pt>
                <c:pt idx="2">
                  <c:v>3.2</c:v>
                </c:pt>
                <c:pt idx="3">
                  <c:v>4.51</c:v>
                </c:pt>
                <c:pt idx="4">
                  <c:v>8.35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90A991E9-B314-4A0B-8F93-8476C5249D79}"/>
            </c:ext>
          </c:extLst>
        </c:ser>
        <c:ser>
          <c:idx val="1"/>
          <c:order val="1"/>
          <c:tx>
            <c:strRef>
              <c:f>'Ratio Graphs'!A32</c:f>
              <c:strCache>
                <c:ptCount val="1"/>
                <c:pt idx="0">
                  <c:v>P/E Ratio</c:v>
                </c:pt>
              </c:strCache>
            </c:strRef>
          </c:tx>
          <c:spPr>
            <a:ln w="28575" cap="rnd">
              <a:solidFill>
                <a:srgbClr val="D86DCD"/>
              </a:solidFill>
              <a:prstDash val="solid"/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Graphs'!$B$32:$F$32</c:f>
              <c:numCache>
                <c:formatCode>General</c:formatCode>
                <c:ptCount val="5"/>
                <c:pt idx="0">
                  <c:v>12.01</c:v>
                </c:pt>
                <c:pt idx="1">
                  <c:v>12.23</c:v>
                </c:pt>
                <c:pt idx="2">
                  <c:v>10.25</c:v>
                </c:pt>
                <c:pt idx="3">
                  <c:v>19.5</c:v>
                </c:pt>
                <c:pt idx="4">
                  <c:v>21.26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E101D83D-0F72-4079-A48D-FC9992A2F287}"/>
            </c:ext>
          </c:extLst>
        </c:ser>
        <c:ser>
          <c:idx val="2"/>
          <c:order val="2"/>
          <c:tx>
            <c:strRef>
              <c:f>'Ratio Graphs'!A33</c:f>
              <c:strCache>
                <c:ptCount val="1"/>
                <c:pt idx="0">
                  <c:v>Dividend Payout Ratio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Graphs'!$B$33:$F$33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8E0A6106-7DFD-4A0B-95F6-2E9D290690AC}"/>
            </c:ext>
          </c:extLst>
        </c:ser>
        <c:ser>
          <c:idx val="3"/>
          <c:order val="3"/>
          <c:tx>
            <c:strRef>
              <c:f>'Ratio Graphs'!A34</c:f>
              <c:strCache>
                <c:ptCount val="1"/>
                <c:pt idx="0">
                  <c:v>Dividend Yield</c:v>
                </c:pt>
              </c:strCache>
            </c:strRef>
          </c:tx>
          <c:spPr>
            <a:ln w="28575" cap="rnd">
              <a:solidFill>
                <a:schemeClr val="accent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t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Graphs'!$B$30:$F$30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Graphs'!$B$34:$F$34</c:f>
              <c:numCache>
                <c:formatCode>General</c:formatCode>
                <c:ptCount val="5"/>
                <c:pt idx="0">
                  <c:v>0</c:v>
                </c:pt>
                <c:pt idx="1">
                  <c:v>0</c:v>
                </c:pt>
                <c:pt idx="2">
                  <c:v>0</c:v>
                </c:pt>
                <c:pt idx="3">
                  <c:v>0</c:v>
                </c:pt>
                <c:pt idx="4">
                  <c:v>0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4D7A0AB7-7352-4657-8C8B-A616B1A89991}"/>
            </c:ext>
          </c:extLst>
        </c:ser>
        <c:dLbls>
          <c:dLblPos val="t"/>
          <c:showLegendKey val="0"/>
          <c:showVal val="1"/>
          <c:showCatName val="0"/>
          <c:showSerName val="0"/>
          <c:showPercent val="0"/>
          <c:showBubbleSize val="0"/>
        </c:dLbls>
        <c:smooth val="0"/>
        <c:axId val="2012907015"/>
        <c:axId val="2012922375"/>
      </c:lineChart>
      <c:catAx>
        <c:axId val="2012907015"/>
        <c:scaling>
          <c:orientation val="minMax"/>
        </c:scaling>
        <c:delete val="0"/>
        <c:axPos val="b"/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2012922375"/>
        <c:crosses val="autoZero"/>
        <c:auto val="1"/>
        <c:lblAlgn val="ctr"/>
        <c:lblOffset val="100"/>
        <c:noMultiLvlLbl val="0"/>
      </c:catAx>
      <c:valAx>
        <c:axId val="2012922375"/>
        <c:scaling>
          <c:orientation val="minMax"/>
        </c:scaling>
        <c:delete val="1"/>
        <c:axPos val="l"/>
        <c:numFmt formatCode="General" sourceLinked="1"/>
        <c:majorTickMark val="none"/>
        <c:minorTickMark val="none"/>
        <c:tickLblPos val="nextTo"/>
        <c:crossAx val="2012907015"/>
        <c:crosses val="autoZero"/>
        <c:crossBetween val="midCat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9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Advanced Analysis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Graphs'!A39</c:f>
              <c:strCache>
                <c:ptCount val="1"/>
                <c:pt idx="0">
                  <c:v>Altman Z-Score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trendline>
            <c:spPr>
              <a:ln w="19050" cap="rnd">
                <a:solidFill>
                  <a:schemeClr val="accent1"/>
                </a:solidFill>
                <a:prstDash val="sysDot"/>
              </a:ln>
              <a:effectLst/>
            </c:spPr>
            <c:trendlineType val="linear"/>
            <c:dispRSqr val="0"/>
            <c:dispEq val="0"/>
          </c:trendline>
          <c:cat>
            <c:numRef>
              <c:f>'Ratio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Graphs'!$B$39:$F$39</c:f>
              <c:numCache>
                <c:formatCode>General</c:formatCode>
                <c:ptCount val="5"/>
                <c:pt idx="0">
                  <c:v>2.62</c:v>
                </c:pt>
                <c:pt idx="1">
                  <c:v>2.75</c:v>
                </c:pt>
                <c:pt idx="2">
                  <c:v>2.97</c:v>
                </c:pt>
                <c:pt idx="3">
                  <c:v>3.36</c:v>
                </c:pt>
                <c:pt idx="4">
                  <c:v>4.32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3029C1EA-7AD9-4A40-9DC5-8F1DB9B1CC0A}"/>
            </c:ext>
          </c:extLst>
        </c:ser>
        <c:ser>
          <c:idx val="1"/>
          <c:order val="1"/>
          <c:tx>
            <c:strRef>
              <c:f>'Ratio Graphs'!A41</c:f>
              <c:strCache>
                <c:ptCount val="1"/>
                <c:pt idx="0">
                  <c:v>ROE (DuPont)</c:v>
                </c:pt>
              </c:strCache>
            </c:strRef>
          </c:tx>
          <c:spPr>
            <a:solidFill>
              <a:srgbClr val="FF0000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Graphs'!$B$41:$F$41</c:f>
              <c:numCache>
                <c:formatCode>General</c:formatCode>
                <c:ptCount val="5"/>
                <c:pt idx="0">
                  <c:v>0.16</c:v>
                </c:pt>
                <c:pt idx="1">
                  <c:v>0.17</c:v>
                </c:pt>
                <c:pt idx="2">
                  <c:v>0.2</c:v>
                </c:pt>
                <c:pt idx="3">
                  <c:v>0.22</c:v>
                </c:pt>
                <c:pt idx="4">
                  <c:v>0.31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72D8C4C4-3355-4AAA-ABBE-FCEB076D69D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60"/>
        <c:overlap val="-27"/>
        <c:axId val="596738568"/>
        <c:axId val="596740616"/>
      </c:barChart>
      <c:lineChart>
        <c:grouping val="standard"/>
        <c:varyColors val="0"/>
        <c:ser>
          <c:idx val="2"/>
          <c:order val="2"/>
          <c:tx>
            <c:strRef>
              <c:f>'Ratio Graphs'!A40</c:f>
              <c:strCache>
                <c:ptCount val="1"/>
                <c:pt idx="0">
                  <c:v>EBITDA ($k)</c:v>
                </c:pt>
              </c:strCache>
            </c:strRef>
          </c:tx>
          <c:spPr>
            <a:ln w="28575" cap="rnd">
              <a:solidFill>
                <a:schemeClr val="accent3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'Ratio Graphs'!$B$38:$F$38</c:f>
              <c:numCache>
                <c:formatCode>General</c:formatCode>
                <c:ptCount val="5"/>
                <c:pt idx="0">
                  <c:v>2020</c:v>
                </c:pt>
                <c:pt idx="1">
                  <c:v>2021</c:v>
                </c:pt>
                <c:pt idx="2">
                  <c:v>2022</c:v>
                </c:pt>
                <c:pt idx="3">
                  <c:v>2023</c:v>
                </c:pt>
                <c:pt idx="4">
                  <c:v>2024</c:v>
                </c:pt>
              </c:numCache>
            </c:numRef>
          </c:cat>
          <c:val>
            <c:numRef>
              <c:f>'Ratio Graphs'!$B$40:$F$40</c:f>
              <c:numCache>
                <c:formatCode>General</c:formatCode>
                <c:ptCount val="5"/>
                <c:pt idx="0">
                  <c:v>125400</c:v>
                </c:pt>
                <c:pt idx="1">
                  <c:v>141212</c:v>
                </c:pt>
                <c:pt idx="2">
                  <c:v>211936</c:v>
                </c:pt>
                <c:pt idx="3">
                  <c:v>263198</c:v>
                </c:pt>
                <c:pt idx="4">
                  <c:v>333032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9323E7E8-2E28-44D2-9351-25360ABF61E3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144329223"/>
        <c:axId val="1950707208"/>
      </c:lineChart>
      <c:catAx>
        <c:axId val="596738568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40616"/>
        <c:crosses val="autoZero"/>
        <c:auto val="1"/>
        <c:lblAlgn val="ctr"/>
        <c:lblOffset val="100"/>
        <c:noMultiLvlLbl val="0"/>
      </c:catAx>
      <c:valAx>
        <c:axId val="596740616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96738568"/>
        <c:crosses val="autoZero"/>
        <c:crossBetween val="between"/>
      </c:valAx>
      <c:valAx>
        <c:axId val="1950707208"/>
        <c:scaling>
          <c:orientation val="minMax"/>
        </c:scaling>
        <c:delete val="0"/>
        <c:axPos val="r"/>
        <c:numFmt formatCode="General" sourceLinked="1"/>
        <c:majorTickMark val="out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329223"/>
        <c:crosses val="max"/>
        <c:crossBetween val="between"/>
        <c:dispUnits>
          <c:builtInUnit val="thousands"/>
          <c:dispUnitsLbl>
            <c:spPr>
              <a:noFill/>
              <a:ln>
                <a:noFill/>
              </a:ln>
              <a:effectLst/>
            </c:spPr>
            <c:txPr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</c:dispUnitsLbl>
        </c:dispUnits>
      </c:valAx>
      <c:catAx>
        <c:axId val="144329223"/>
        <c:scaling>
          <c:orientation val="minMax"/>
        </c:scaling>
        <c:delete val="1"/>
        <c:axPos val="b"/>
        <c:numFmt formatCode="General" sourceLinked="1"/>
        <c:majorTickMark val="out"/>
        <c:minorTickMark val="none"/>
        <c:tickLblPos val="nextTo"/>
        <c:crossAx val="1950707208"/>
        <c:crosses val="autoZero"/>
        <c:auto val="1"/>
        <c:lblAlgn val="ctr"/>
        <c:lblOffset val="100"/>
        <c:noMultiLvlLbl val="0"/>
      </c:cat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0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Key Ratio's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barChart>
        <c:barDir val="col"/>
        <c:grouping val="clustered"/>
        <c:varyColors val="0"/>
        <c:ser>
          <c:idx val="0"/>
          <c:order val="0"/>
          <c:tx>
            <c:strRef>
              <c:f>'Ratio Graphs'!A46</c:f>
              <c:strCache>
                <c:ptCount val="1"/>
                <c:pt idx="0">
                  <c:v>Current Ratio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Graphs'!$B$45:$D$45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Change</c:v>
                </c:pt>
              </c:strCache>
            </c:strRef>
          </c:cat>
          <c:val>
            <c:numRef>
              <c:f>'Ratio Graphs'!$B$46:$D$46</c:f>
              <c:numCache>
                <c:formatCode>General</c:formatCode>
                <c:ptCount val="3"/>
                <c:pt idx="0">
                  <c:v>1.25</c:v>
                </c:pt>
                <c:pt idx="1">
                  <c:v>1.38</c:v>
                </c:pt>
                <c:pt idx="2">
                  <c:v>0.104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F1A0B1FA-DD32-4885-A44E-6BFD7919A1BE}"/>
            </c:ext>
          </c:extLst>
        </c:ser>
        <c:ser>
          <c:idx val="1"/>
          <c:order val="1"/>
          <c:tx>
            <c:strRef>
              <c:f>'Ratio Graphs'!A47</c:f>
              <c:strCache>
                <c:ptCount val="1"/>
                <c:pt idx="0">
                  <c:v>Debt-to-Equity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strRef>
              <c:f>'Ratio Graphs'!$B$45:$D$45</c:f>
              <c:strCache>
                <c:ptCount val="3"/>
                <c:pt idx="0">
                  <c:v>2023</c:v>
                </c:pt>
                <c:pt idx="1">
                  <c:v>2024</c:v>
                </c:pt>
                <c:pt idx="2">
                  <c:v>Change</c:v>
                </c:pt>
              </c:strCache>
            </c:strRef>
          </c:cat>
          <c:val>
            <c:numRef>
              <c:f>'Ratio Graphs'!$B$47:$D$47</c:f>
              <c:numCache>
                <c:formatCode>General</c:formatCode>
                <c:ptCount val="3"/>
                <c:pt idx="0">
                  <c:v>0.55000000000000004</c:v>
                </c:pt>
                <c:pt idx="1">
                  <c:v>0.38</c:v>
                </c:pt>
                <c:pt idx="2">
                  <c:v>-0.309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631FCDE0-A023-4087-B106-280E63F8B3BA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40"/>
        <c:overlap val="-30"/>
        <c:axId val="144758791"/>
        <c:axId val="415003143"/>
      </c:barChart>
      <c:catAx>
        <c:axId val="144758791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low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15003143"/>
        <c:crosses val="autoZero"/>
        <c:auto val="1"/>
        <c:lblAlgn val="ctr"/>
        <c:lblOffset val="100"/>
        <c:noMultiLvlLbl val="0"/>
      </c:catAx>
      <c:valAx>
        <c:axId val="415003143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144758791"/>
        <c:crosses val="autoZero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Solvency Ratios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'Leverage (Solvency Ratio)'!$B$30</c:f>
              <c:strCache>
                <c:ptCount val="1"/>
                <c:pt idx="0">
                  <c:v>Debt-to-Equity </c:v>
                </c:pt>
              </c:strCache>
            </c:strRef>
          </c:tx>
          <c:spPr>
            <a:ln w="28575" cap="rnd">
              <a:solidFill>
                <a:srgbClr val="637CEF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Ratio)'!A31:A37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Ratio)'!$B$31:$B$37</c:f>
              <c:numCache>
                <c:formatCode>#,##0.00_);[Red]\(#,##0.00\)</c:formatCode>
                <c:ptCount val="7"/>
                <c:pt idx="0">
                  <c:v>3.35</c:v>
                </c:pt>
                <c:pt idx="1">
                  <c:v>2.5499999999999998</c:v>
                </c:pt>
                <c:pt idx="2">
                  <c:v>2.42</c:v>
                </c:pt>
                <c:pt idx="3">
                  <c:v>2.02</c:v>
                </c:pt>
                <c:pt idx="4">
                  <c:v>1.85</c:v>
                </c:pt>
                <c:pt idx="5">
                  <c:v>1.44</c:v>
                </c:pt>
                <c:pt idx="6">
                  <c:v>1.36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D238-443D-B413-8A36376AFE5C}"/>
            </c:ext>
          </c:extLst>
        </c:ser>
        <c:ser>
          <c:idx val="1"/>
          <c:order val="1"/>
          <c:tx>
            <c:strRef>
              <c:f>'Leverage (Solvency Ratio)'!$C$30</c:f>
              <c:strCache>
                <c:ptCount val="1"/>
                <c:pt idx="0">
                  <c:v>Debt-to-Assets</c:v>
                </c:pt>
              </c:strCache>
            </c:strRef>
          </c:tx>
          <c:spPr>
            <a:ln w="28575" cap="rnd">
              <a:solidFill>
                <a:srgbClr val="E3008C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ctr"/>
            <c:showLegendKey val="0"/>
            <c:showVal val="1"/>
            <c:showCatName val="0"/>
            <c:showSerName val="0"/>
            <c:showPercent val="0"/>
            <c:showBubbleSize val="0"/>
            <c:separator>, </c:separator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Ratio)'!A31:A37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Ratio)'!$C$31:$C$37</c:f>
              <c:numCache>
                <c:formatCode>#,##0.00_);[Red]\(#,##0.00\)</c:formatCode>
                <c:ptCount val="7"/>
                <c:pt idx="0">
                  <c:v>0.77</c:v>
                </c:pt>
                <c:pt idx="1">
                  <c:v>0.72</c:v>
                </c:pt>
                <c:pt idx="2">
                  <c:v>0.71</c:v>
                </c:pt>
                <c:pt idx="3">
                  <c:v>0.67</c:v>
                </c:pt>
                <c:pt idx="4">
                  <c:v>0.65</c:v>
                </c:pt>
                <c:pt idx="5">
                  <c:v>0.59</c:v>
                </c:pt>
                <c:pt idx="6">
                  <c:v>0.57999999999999996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D238-443D-B413-8A36376AFE5C}"/>
            </c:ext>
          </c:extLst>
        </c:ser>
        <c:ser>
          <c:idx val="2"/>
          <c:order val="2"/>
          <c:tx>
            <c:strRef>
              <c:f>'Leverage (Solvency Ratio)'!$D$30</c:f>
              <c:strCache>
                <c:ptCount val="1"/>
                <c:pt idx="0">
                  <c:v>Equity Ratio</c:v>
                </c:pt>
              </c:strCache>
            </c:strRef>
          </c:tx>
          <c:spPr>
            <a:ln w="28575" cap="rnd">
              <a:solidFill>
                <a:srgbClr val="2AA0A4"/>
              </a:solidFill>
              <a:round/>
            </a:ln>
            <a:effectLst/>
          </c:spPr>
          <c:marker>
            <c:symbol val="none"/>
          </c:marker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tx1">
                        <a:lumMod val="75000"/>
                        <a:lumOff val="2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 cap="flat" cmpd="sng" algn="ctr">
                      <a:solidFill>
                        <a:schemeClr val="tx1">
                          <a:lumMod val="35000"/>
                          <a:lumOff val="65000"/>
                        </a:schemeClr>
                      </a:solidFill>
                      <a:round/>
                    </a:ln>
                    <a:effectLst/>
                  </c:spPr>
                </c15:leaderLines>
              </c:ext>
            </c:extLst>
          </c:dLbls>
          <c:cat>
            <c:numRef>
              <c:f>'Leverage (Solvency Ratio)'!A31:A37</c:f>
              <c:numCache>
                <c:formatCode>General</c:formatCode>
                <c:ptCount val="7"/>
                <c:pt idx="0">
                  <c:v>2019</c:v>
                </c:pt>
                <c:pt idx="1">
                  <c:v>2020</c:v>
                </c:pt>
                <c:pt idx="2">
                  <c:v>2021</c:v>
                </c:pt>
                <c:pt idx="3">
                  <c:v>2022</c:v>
                </c:pt>
                <c:pt idx="4">
                  <c:v>2023</c:v>
                </c:pt>
                <c:pt idx="5">
                  <c:v>2024</c:v>
                </c:pt>
                <c:pt idx="6">
                  <c:v>2025</c:v>
                </c:pt>
              </c:numCache>
            </c:numRef>
          </c:cat>
          <c:val>
            <c:numRef>
              <c:f>'Leverage (Solvency Ratio)'!$D$31:$D$37</c:f>
              <c:numCache>
                <c:formatCode>#,##0.00_);[Red]\(#,##0.00\)</c:formatCode>
                <c:ptCount val="7"/>
                <c:pt idx="0">
                  <c:v>0.23</c:v>
                </c:pt>
                <c:pt idx="1">
                  <c:v>0.28000000000000003</c:v>
                </c:pt>
                <c:pt idx="2">
                  <c:v>0.28999999999999998</c:v>
                </c:pt>
                <c:pt idx="3">
                  <c:v>0.33</c:v>
                </c:pt>
                <c:pt idx="4">
                  <c:v>0.35</c:v>
                </c:pt>
                <c:pt idx="5">
                  <c:v>0.41</c:v>
                </c:pt>
                <c:pt idx="6">
                  <c:v>0.42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D238-443D-B413-8A36376AFE5C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smooth val="0"/>
        <c:axId val="91685896"/>
        <c:axId val="99923464"/>
      </c:lineChart>
      <c:catAx>
        <c:axId val="91685896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9923464"/>
        <c:crosses val="autoZero"/>
        <c:auto val="1"/>
        <c:lblAlgn val="ctr"/>
        <c:lblOffset val="100"/>
        <c:noMultiLvlLbl val="0"/>
      </c:catAx>
      <c:valAx>
        <c:axId val="99923464"/>
        <c:scaling>
          <c:orientation val="minMax"/>
        </c:scaling>
        <c:delete val="0"/>
        <c:axPos val="l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#,##0.00_);[Red]\(#,##0.00\)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91685896"/>
        <c:crossesAt val="1"/>
        <c:crossBetween val="between"/>
      </c:valAx>
      <c:spPr>
        <a:noFill/>
        <a:ln>
          <a:noFill/>
        </a:ln>
        <a:effectLst/>
      </c:spPr>
    </c:plotArea>
    <c:legend>
      <c:legendPos val="b"/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</c:chartSpace>
</file>

<file path=xl/charts/chart1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[Sterling Infrastructure Ratio Analysis_Anuja Naidu &amp; Ors.xlsx]Sheet4!PivotTable1</c:name>
    <c:fmtId val="0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400" b="0" i="0" u="none" strike="noStrike" kern="1200" spc="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US"/>
              <a:t>'2023' by 'Field1'</a:t>
            </a:r>
          </a:p>
        </c:rich>
      </c:tx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400" b="0" i="0" u="none" strike="noStrike" kern="1200" spc="0" baseline="0">
              <a:solidFill>
                <a:schemeClr val="tx1">
                  <a:lumMod val="65000"/>
                  <a:lumOff val="3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1"/>
          </a:solidFill>
          <a:ln>
            <a:noFill/>
          </a:ln>
          <a:effectLst/>
        </c:spPr>
        <c:marker>
          <c:symbol val="none"/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tx1">
                      <a:lumMod val="75000"/>
                      <a:lumOff val="2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0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/>
      <c:barChart>
        <c:barDir val="bar"/>
        <c:grouping val="clustered"/>
        <c:varyColors val="0"/>
        <c:ser>
          <c:idx val="0"/>
          <c:order val="0"/>
          <c:tx>
            <c:strRef>
              <c:f>Sheet4!$B$2</c:f>
              <c:strCache>
                <c:ptCount val="1"/>
                <c:pt idx="0">
                  <c:v>Total</c:v>
                </c:pt>
              </c:strCache>
            </c:strRef>
          </c:tx>
          <c:spPr>
            <a:solidFill>
              <a:schemeClr val="accent1"/>
            </a:solidFill>
            <a:ln>
              <a:noFill/>
            </a:ln>
            <a:effectLst/>
          </c:spPr>
          <c:invertIfNegative val="0"/>
          <c:cat>
            <c:strRef>
              <c:f>Sheet4!$A$3:$A$8</c:f>
              <c:strCache>
                <c:ptCount val="5"/>
                <c:pt idx="0">
                  <c:v>Return on Equity (ROE)</c:v>
                </c:pt>
                <c:pt idx="1">
                  <c:v>Gross Profit Margin</c:v>
                </c:pt>
                <c:pt idx="2">
                  <c:v>Operating Profit Margin</c:v>
                </c:pt>
                <c:pt idx="3">
                  <c:v>Return on Assets (ROA)</c:v>
                </c:pt>
                <c:pt idx="4">
                  <c:v>Net Profit Margin</c:v>
                </c:pt>
              </c:strCache>
            </c:strRef>
          </c:cat>
          <c:val>
            <c:numRef>
              <c:f>Sheet4!$B$3:$B$8</c:f>
              <c:numCache>
                <c:formatCode>General</c:formatCode>
                <c:ptCount val="5"/>
                <c:pt idx="0">
                  <c:v>0.222</c:v>
                </c:pt>
                <c:pt idx="1">
                  <c:v>0.17100000000000001</c:v>
                </c:pt>
                <c:pt idx="2">
                  <c:v>0.104</c:v>
                </c:pt>
                <c:pt idx="3">
                  <c:v>7.8E-2</c:v>
                </c:pt>
                <c:pt idx="4">
                  <c:v>7.0000000000000007E-2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5-5F76-4A81-BCBA-3F8145E95F3D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33"/>
        <c:overlap val="-30"/>
        <c:axId val="426375176"/>
        <c:axId val="456955400"/>
      </c:barChart>
      <c:catAx>
        <c:axId val="426375176"/>
        <c:scaling>
          <c:orientation val="maxMin"/>
        </c:scaling>
        <c:delete val="0"/>
        <c:axPos val="l"/>
        <c:title>
          <c:tx>
            <c:rich>
              <a:bodyPr rot="-540000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Field1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-540000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56955400"/>
        <c:crosses val="autoZero"/>
        <c:auto val="1"/>
        <c:lblAlgn val="ctr"/>
        <c:lblOffset val="100"/>
        <c:noMultiLvlLbl val="0"/>
      </c:catAx>
      <c:valAx>
        <c:axId val="456955400"/>
        <c:scaling>
          <c:orientation val="minMax"/>
        </c:scaling>
        <c:delete val="0"/>
        <c:axPos val="b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title>
          <c:tx>
            <c:rich>
              <a:bodyPr rot="0" spcFirstLastPara="1" vertOverflow="ellipsis" vert="horz" wrap="square" anchor="ctr" anchorCtr="1"/>
              <a:lstStyle/>
              <a:p>
                <a:pPr>
                  <a:defRPr sz="1000" b="0" i="0" u="none" strike="noStrike" kern="1200" baseline="0">
                    <a:solidFill>
                      <a:schemeClr val="tx1">
                        <a:lumMod val="65000"/>
                        <a:lumOff val="3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r>
                  <a:rPr lang="en-US"/>
                  <a:t>2023</a:t>
                </a:r>
              </a:p>
            </c:rich>
          </c:tx>
          <c:overlay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anchor="ctr" anchorCtr="1"/>
            <a:lstStyle/>
            <a:p>
              <a:pPr>
                <a:defRPr sz="1000" b="0" i="0" u="none" strike="noStrike" kern="1200" baseline="0">
                  <a:solidFill>
                    <a:schemeClr val="tx1">
                      <a:lumMod val="65000"/>
                      <a:lumOff val="3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</c:title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426375176"/>
        <c:crosses val="max"/>
        <c:crossBetween val="between"/>
      </c:valAx>
      <c:spPr>
        <a:noFill/>
        <a:ln>
          <a:noFill/>
        </a:ln>
        <a:effectLst/>
      </c:spPr>
    </c:plotArea>
    <c:plotVisOnly val="1"/>
    <c:dispBlanksAs val="gap"/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3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4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5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6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7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8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9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0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11.xml><?xml version="1.0" encoding="utf-8"?>
<cs:colorStyle xmlns:cs="http://schemas.microsoft.com/office/drawing/2012/chartStyle" xmlns:a="http://schemas.openxmlformats.org/drawingml/2006/main" meth="cycle" id="10000">
  <a:srgbClr val="637CEF"/>
  <a:srgbClr val="E3008C"/>
  <a:srgbClr val="2AA0A4"/>
  <a:srgbClr val="9373C0"/>
  <a:srgbClr val="13A10E"/>
  <a:srgbClr val="3A96DD"/>
  <a:srgbClr val="CA5010"/>
  <a:srgbClr val="57811B"/>
  <a:srgbClr val="B146C2"/>
  <a:srgbClr val="AE8C00"/>
  <a:srgbClr val="AE8C00"/>
  <a:srgbClr val="637CEF"/>
  <a:srgbClr val="EE5FB7"/>
  <a:srgbClr val="008B94"/>
  <a:srgbClr val="D77440"/>
  <a:srgbClr val="BA58C9"/>
  <a:srgbClr val="3A96DD"/>
  <a:srgbClr val="E3008C"/>
  <a:srgbClr val="C36BD1"/>
  <a:srgbClr val="D06228"/>
  <a:srgbClr val="57811B"/>
</cs:colorStyle>
</file>

<file path=xl/charts/colors1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2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3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4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5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6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7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8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9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0.xml><?xml version="1.0" encoding="utf-8"?>
<cs:chartStyle xmlns:cs="http://schemas.microsoft.com/office/drawing/2012/chartStyle" xmlns:a="http://schemas.openxmlformats.org/drawingml/2006/main" id="201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1.xml><?xml version="1.0" encoding="utf-8"?>
<cs:chartStyle xmlns:cs="http://schemas.microsoft.com/office/drawing/2012/chartStyle" xmlns:a="http://schemas.openxmlformats.org/drawingml/2006/main" id="22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>
  <cs:dataPoint3D>
    <cs:lnRef idx="0"/>
    <cs:fillRef idx="1">
      <cs:styleClr val="auto"/>
    </cs:fillRef>
    <cs:effectRef idx="0"/>
    <cs:fontRef idx="minor">
      <a:schemeClr val="tx1"/>
    </cs:fontRef>
    <cs:spPr>
      <a:solidFill>
        <a:schemeClr val="phClr"/>
      </a:solidFill>
    </cs:spPr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solidFill>
        <a:schemeClr val="phClr"/>
      </a:solidFill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65000"/>
          <a:lumOff val="35000"/>
        </a:schemeClr>
      </a:solidFill>
      <a:ln w="9525">
        <a:solidFill>
          <a:schemeClr val="tx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75000"/>
            <a:lumOff val="25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tx1">
            <a:lumMod val="15000"/>
            <a:lumOff val="85000"/>
          </a:schemeClr>
        </a:solidFill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charts/style12.xml><?xml version="1.0" encoding="utf-8"?>
<cs:chartStyle xmlns:cs="http://schemas.microsoft.com/office/drawing/2012/chartStyle" xmlns:a="http://schemas.openxmlformats.org/drawingml/2006/main" id="216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chart" Target="../charts/chart3.xml"/></Relationships>
</file>

<file path=xl/drawings/_rels/drawing4.xml.rels><?xml version="1.0" encoding="UTF-8" standalone="yes"?>
<Relationships xmlns="http://schemas.openxmlformats.org/package/2006/relationships"><Relationship Id="rId8" Type="http://schemas.openxmlformats.org/officeDocument/2006/relationships/chart" Target="../charts/chart11.xml"/><Relationship Id="rId3" Type="http://schemas.openxmlformats.org/officeDocument/2006/relationships/chart" Target="../charts/chart6.xml"/><Relationship Id="rId7" Type="http://schemas.openxmlformats.org/officeDocument/2006/relationships/chart" Target="../charts/chart10.xml"/><Relationship Id="rId2" Type="http://schemas.openxmlformats.org/officeDocument/2006/relationships/chart" Target="../charts/chart5.xml"/><Relationship Id="rId1" Type="http://schemas.openxmlformats.org/officeDocument/2006/relationships/chart" Target="../charts/chart4.xml"/><Relationship Id="rId6" Type="http://schemas.openxmlformats.org/officeDocument/2006/relationships/chart" Target="../charts/chart9.xml"/><Relationship Id="rId5" Type="http://schemas.openxmlformats.org/officeDocument/2006/relationships/chart" Target="../charts/chart8.xml"/><Relationship Id="rId4" Type="http://schemas.openxmlformats.org/officeDocument/2006/relationships/chart" Target="../charts/chart7.xml"/></Relationships>
</file>

<file path=xl/drawings/_rels/drawing5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1</xdr:col>
      <xdr:colOff>0</xdr:colOff>
      <xdr:row>12</xdr:row>
      <xdr:rowOff>123825</xdr:rowOff>
    </xdr:from>
    <xdr:to>
      <xdr:col>5</xdr:col>
      <xdr:colOff>885825</xdr:colOff>
      <xdr:row>32</xdr:row>
      <xdr:rowOff>152400</xdr:rowOff>
    </xdr:to>
    <xdr:graphicFrame macro="">
      <xdr:nvGraphicFramePr>
        <xdr:cNvPr id="2" name="Chart 1" descr="Chart type: Line. 'Current Ratio', 'Quick Ratio', 'Cash Ratio' by 'Ratio'&#10;&#10;Description automatically generated">
          <a:extLst>
            <a:ext uri="{FF2B5EF4-FFF2-40B4-BE49-F238E27FC236}">
              <a16:creationId xmlns:a16="http://schemas.microsoft.com/office/drawing/2014/main" id="{DE2E4174-4F7A-9155-6616-08929936E2B5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7</xdr:col>
      <xdr:colOff>428625</xdr:colOff>
      <xdr:row>18</xdr:row>
      <xdr:rowOff>47625</xdr:rowOff>
    </xdr:from>
    <xdr:to>
      <xdr:col>8</xdr:col>
      <xdr:colOff>428625</xdr:colOff>
      <xdr:row>37</xdr:row>
      <xdr:rowOff>57150</xdr:rowOff>
    </xdr:to>
    <xdr:graphicFrame macro="">
      <xdr:nvGraphicFramePr>
        <xdr:cNvPr id="21" name="Chart 20">
          <a:extLst>
            <a:ext uri="{FF2B5EF4-FFF2-40B4-BE49-F238E27FC236}">
              <a16:creationId xmlns:a16="http://schemas.microsoft.com/office/drawing/2014/main" id="{4957B240-DC4B-C7E3-4CB1-3E03C96266EA}"/>
            </a:ext>
            <a:ext uri="{147F2762-F138-4A5C-976F-8EAC2B608ADB}">
              <a16:predDERef xmlns:a16="http://schemas.microsoft.com/office/drawing/2014/main" pred="{87EF96C1-3C64-27E3-72F0-BA9E856583B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304800</xdr:colOff>
      <xdr:row>10</xdr:row>
      <xdr:rowOff>28575</xdr:rowOff>
    </xdr:from>
    <xdr:to>
      <xdr:col>9</xdr:col>
      <xdr:colOff>180975</xdr:colOff>
      <xdr:row>24</xdr:row>
      <xdr:rowOff>104775</xdr:rowOff>
    </xdr:to>
    <xdr:graphicFrame macro="">
      <xdr:nvGraphicFramePr>
        <xdr:cNvPr id="5" name="Chart 4" descr="Chart type: Clustered Column. 'EBITDA'&#10;&#10;Description automatically generated">
          <a:extLst>
            <a:ext uri="{FF2B5EF4-FFF2-40B4-BE49-F238E27FC236}">
              <a16:creationId xmlns:a16="http://schemas.microsoft.com/office/drawing/2014/main" id="{E4B2C37E-CBF6-9D16-86B4-7F33ABB85C7D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>
    <xdr:from>
      <xdr:col>8</xdr:col>
      <xdr:colOff>333375</xdr:colOff>
      <xdr:row>0</xdr:row>
      <xdr:rowOff>0</xdr:rowOff>
    </xdr:from>
    <xdr:to>
      <xdr:col>16</xdr:col>
      <xdr:colOff>333375</xdr:colOff>
      <xdr:row>12</xdr:row>
      <xdr:rowOff>9525</xdr:rowOff>
    </xdr:to>
    <xdr:graphicFrame macro="">
      <xdr:nvGraphicFramePr>
        <xdr:cNvPr id="2" name="Chart 1" descr="Chart type: Clustered Column. 'Current Ratio', 'Quick Ratio', 'Cash Ratio' by 'Field1'&#10;&#10;Description automatically generated">
          <a:extLst>
            <a:ext uri="{FF2B5EF4-FFF2-40B4-BE49-F238E27FC236}">
              <a16:creationId xmlns:a16="http://schemas.microsoft.com/office/drawing/2014/main" id="{2936A888-24E4-DBE4-6BC2-8A48424B8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8</xdr:col>
      <xdr:colOff>295275</xdr:colOff>
      <xdr:row>14</xdr:row>
      <xdr:rowOff>133350</xdr:rowOff>
    </xdr:from>
    <xdr:to>
      <xdr:col>16</xdr:col>
      <xdr:colOff>276225</xdr:colOff>
      <xdr:row>28</xdr:row>
      <xdr:rowOff>200025</xdr:rowOff>
    </xdr:to>
    <xdr:graphicFrame macro="">
      <xdr:nvGraphicFramePr>
        <xdr:cNvPr id="4" name="Chart 3" descr="Chart type: Clustered Column. 'Debt-to-Equity*', 'Debt-to-Assets*', 'Equity Ratio*' by 'Field1'&#10;&#10;Description automatically generated">
          <a:extLst>
            <a:ext uri="{FF2B5EF4-FFF2-40B4-BE49-F238E27FC236}">
              <a16:creationId xmlns:a16="http://schemas.microsoft.com/office/drawing/2014/main" id="{47830976-0809-A7B3-9CA1-0A31134FECA7}"/>
            </a:ext>
            <a:ext uri="{147F2762-F138-4A5C-976F-8EAC2B608ADB}">
              <a16:predDERef xmlns:a16="http://schemas.microsoft.com/office/drawing/2014/main" pred="{2936A888-24E4-DBE4-6BC2-8A48424B8B6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  <xdr:twoCellAnchor>
    <xdr:from>
      <xdr:col>7</xdr:col>
      <xdr:colOff>352425</xdr:colOff>
      <xdr:row>30</xdr:row>
      <xdr:rowOff>66675</xdr:rowOff>
    </xdr:from>
    <xdr:to>
      <xdr:col>15</xdr:col>
      <xdr:colOff>333375</xdr:colOff>
      <xdr:row>44</xdr:row>
      <xdr:rowOff>85725</xdr:rowOff>
    </xdr:to>
    <xdr:graphicFrame macro="">
      <xdr:nvGraphicFramePr>
        <xdr:cNvPr id="5" name="Chart 4" descr="Chart type: Clustered Column. 'Asset Turnover', 'Receivables Turnover', 'Accounts Payable Turnover' by 'Field1'&#10;&#10;Description automatically generated">
          <a:extLst>
            <a:ext uri="{FF2B5EF4-FFF2-40B4-BE49-F238E27FC236}">
              <a16:creationId xmlns:a16="http://schemas.microsoft.com/office/drawing/2014/main" id="{310BD0E5-51D6-F8F0-0218-9DB83A0E164C}"/>
            </a:ext>
            <a:ext uri="{147F2762-F138-4A5C-976F-8EAC2B608ADB}">
              <a16:predDERef xmlns:a16="http://schemas.microsoft.com/office/drawing/2014/main" pred="{47830976-0809-A7B3-9CA1-0A31134FECA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3"/>
        </a:graphicData>
      </a:graphic>
    </xdr:graphicFrame>
    <xdr:clientData/>
  </xdr:twoCellAnchor>
  <xdr:twoCellAnchor>
    <xdr:from>
      <xdr:col>17</xdr:col>
      <xdr:colOff>390525</xdr:colOff>
      <xdr:row>0</xdr:row>
      <xdr:rowOff>0</xdr:rowOff>
    </xdr:from>
    <xdr:to>
      <xdr:col>27</xdr:col>
      <xdr:colOff>152400</xdr:colOff>
      <xdr:row>14</xdr:row>
      <xdr:rowOff>28575</xdr:rowOff>
    </xdr:to>
    <xdr:graphicFrame macro="">
      <xdr:nvGraphicFramePr>
        <xdr:cNvPr id="6" name="Chart 5" descr="Chart type: Clustered Column. Multiple values by 'Field1'&#10;&#10;Description automatically generated">
          <a:extLst>
            <a:ext uri="{FF2B5EF4-FFF2-40B4-BE49-F238E27FC236}">
              <a16:creationId xmlns:a16="http://schemas.microsoft.com/office/drawing/2014/main" id="{9BFAD579-4530-2C82-C5D7-E3F93F38510B}"/>
            </a:ext>
            <a:ext uri="{147F2762-F138-4A5C-976F-8EAC2B608ADB}">
              <a16:predDERef xmlns:a16="http://schemas.microsoft.com/office/drawing/2014/main" pred="{310BD0E5-51D6-F8F0-0218-9DB83A0E164C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4"/>
        </a:graphicData>
      </a:graphic>
    </xdr:graphicFrame>
    <xdr:clientData/>
  </xdr:twoCellAnchor>
  <xdr:twoCellAnchor>
    <xdr:from>
      <xdr:col>17</xdr:col>
      <xdr:colOff>0</xdr:colOff>
      <xdr:row>17</xdr:row>
      <xdr:rowOff>9525</xdr:rowOff>
    </xdr:from>
    <xdr:to>
      <xdr:col>24</xdr:col>
      <xdr:colOff>304800</xdr:colOff>
      <xdr:row>31</xdr:row>
      <xdr:rowOff>47625</xdr:rowOff>
    </xdr:to>
    <xdr:graphicFrame macro="">
      <xdr:nvGraphicFramePr>
        <xdr:cNvPr id="8" name="Chart 7" descr="Chart type: Line. Multiple values by 'Field1'&#10;&#10;Description automatically generated">
          <a:extLst>
            <a:ext uri="{FF2B5EF4-FFF2-40B4-BE49-F238E27FC236}">
              <a16:creationId xmlns:a16="http://schemas.microsoft.com/office/drawing/2014/main" id="{B5A33657-254A-4496-9865-42FB2358C8F7}"/>
            </a:ext>
            <a:ext uri="{147F2762-F138-4A5C-976F-8EAC2B608ADB}">
              <a16:predDERef xmlns:a16="http://schemas.microsoft.com/office/drawing/2014/main" pred="{9BFAD579-4530-2C82-C5D7-E3F93F38510B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5"/>
        </a:graphicData>
      </a:graphic>
    </xdr:graphicFrame>
    <xdr:clientData/>
  </xdr:twoCellAnchor>
  <xdr:twoCellAnchor>
    <xdr:from>
      <xdr:col>29</xdr:col>
      <xdr:colOff>28575</xdr:colOff>
      <xdr:row>1</xdr:row>
      <xdr:rowOff>104775</xdr:rowOff>
    </xdr:from>
    <xdr:to>
      <xdr:col>40</xdr:col>
      <xdr:colOff>438150</xdr:colOff>
      <xdr:row>25</xdr:row>
      <xdr:rowOff>28575</xdr:rowOff>
    </xdr:to>
    <xdr:graphicFrame macro="">
      <xdr:nvGraphicFramePr>
        <xdr:cNvPr id="9" name="Chart 8" descr="Chart type: Clustered Column, Line. 'Altman Z-Score', 'ROE (DuPont)', 'EBITDA ($k)' by 'Field1'&#10;&#10;Description automatically generated">
          <a:extLst>
            <a:ext uri="{FF2B5EF4-FFF2-40B4-BE49-F238E27FC236}">
              <a16:creationId xmlns:a16="http://schemas.microsoft.com/office/drawing/2014/main" id="{F19C854B-B708-7FE8-AFB9-EEEFDC96A40F}"/>
            </a:ext>
            <a:ext uri="{147F2762-F138-4A5C-976F-8EAC2B608ADB}">
              <a16:predDERef xmlns:a16="http://schemas.microsoft.com/office/drawing/2014/main" pred="{B5A33657-254A-4496-9865-42FB2358C8F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6"/>
        </a:graphicData>
      </a:graphic>
    </xdr:graphicFrame>
    <xdr:clientData/>
  </xdr:twoCellAnchor>
  <xdr:twoCellAnchor>
    <xdr:from>
      <xdr:col>28</xdr:col>
      <xdr:colOff>28575</xdr:colOff>
      <xdr:row>27</xdr:row>
      <xdr:rowOff>171450</xdr:rowOff>
    </xdr:from>
    <xdr:to>
      <xdr:col>35</xdr:col>
      <xdr:colOff>333375</xdr:colOff>
      <xdr:row>42</xdr:row>
      <xdr:rowOff>0</xdr:rowOff>
    </xdr:to>
    <xdr:graphicFrame macro="">
      <xdr:nvGraphicFramePr>
        <xdr:cNvPr id="11" name="Chart 10" descr="Chart type: Clustered Column. 'Current Ratio', 'Debt-to-Equity' by 'Metric'&#10;&#10;Description automatically generated">
          <a:extLst>
            <a:ext uri="{FF2B5EF4-FFF2-40B4-BE49-F238E27FC236}">
              <a16:creationId xmlns:a16="http://schemas.microsoft.com/office/drawing/2014/main" id="{A5D574EC-931C-A3D9-4F18-865206905812}"/>
            </a:ext>
            <a:ext uri="{147F2762-F138-4A5C-976F-8EAC2B608ADB}">
              <a16:predDERef xmlns:a16="http://schemas.microsoft.com/office/drawing/2014/main" pred="{F19C854B-B708-7FE8-AFB9-EEEFDC96A40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7"/>
        </a:graphicData>
      </a:graphic>
    </xdr:graphicFrame>
    <xdr:clientData/>
  </xdr:twoCellAnchor>
  <xdr:twoCellAnchor>
    <xdr:from>
      <xdr:col>6</xdr:col>
      <xdr:colOff>0</xdr:colOff>
      <xdr:row>52</xdr:row>
      <xdr:rowOff>0</xdr:rowOff>
    </xdr:from>
    <xdr:to>
      <xdr:col>12</xdr:col>
      <xdr:colOff>180975</xdr:colOff>
      <xdr:row>71</xdr:row>
      <xdr:rowOff>9525</xdr:rowOff>
    </xdr:to>
    <xdr:graphicFrame macro="">
      <xdr:nvGraphicFramePr>
        <xdr:cNvPr id="7" name="Chart 6">
          <a:extLst>
            <a:ext uri="{FF2B5EF4-FFF2-40B4-BE49-F238E27FC236}">
              <a16:creationId xmlns:a16="http://schemas.microsoft.com/office/drawing/2014/main" id="{59FF80A3-B1DE-4493-A142-EB32603BFB46}"/>
            </a:ext>
            <a:ext uri="{147F2762-F138-4A5C-976F-8EAC2B608ADB}">
              <a16:predDERef xmlns:a16="http://schemas.microsoft.com/office/drawing/2014/main" pred="{A5D574EC-931C-A3D9-4F18-865206905812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8"/>
        </a:graphicData>
      </a:graphic>
    </xdr:graphicFrame>
    <xdr:clientData/>
  </xdr:twoCellAnchor>
</xdr:wsDr>
</file>

<file path=xl/drawings/drawing5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0</xdr:colOff>
      <xdr:row>1</xdr:row>
      <xdr:rowOff>0</xdr:rowOff>
    </xdr:from>
    <xdr:to>
      <xdr:col>10</xdr:col>
      <xdr:colOff>304800</xdr:colOff>
      <xdr:row>15</xdr:row>
      <xdr:rowOff>76200</xdr:rowOff>
    </xdr:to>
    <xdr:graphicFrame macro="">
      <xdr:nvGraphicFramePr>
        <xdr:cNvPr id="2" name="Chart 1" descr="Chart type: Clustered Bar. '2023' by 'Field1'&#10;&#10;Description automatically generated">
          <a:extLst>
            <a:ext uri="{FF2B5EF4-FFF2-40B4-BE49-F238E27FC236}">
              <a16:creationId xmlns:a16="http://schemas.microsoft.com/office/drawing/2014/main" id="{B6B86761-BAA7-9732-7260-C901660919E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ersons/person.xml><?xml version="1.0" encoding="utf-8"?>
<personList xmlns="http://schemas.microsoft.com/office/spreadsheetml/2018/threadedcomments" xmlns:x="http://schemas.openxmlformats.org/spreadsheetml/2006/main">
  <person displayName="Anuja Naidu" id="{061006F1-8283-49DA-B273-E6747BCAC7ED}" userId="S::anaidu1@hawk.illinoistech.edu::2a10d1c1-21ca-48dc-badb-2ef1636fec00" providerId="AD"/>
</personList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Excel Services" refreshedDate="45993.417581597219" createdVersion="8" refreshedVersion="8" minRefreshableVersion="3" recordCount="5" xr:uid="{C43F0933-7DBA-40EF-B089-577AC3E5E2DA}">
  <cacheSource type="worksheet">
    <worksheetSource ref="C6:H11" sheet="Sheet2"/>
  </cacheSource>
  <cacheFields count="6">
    <cacheField name="Field1" numFmtId="0">
      <sharedItems count="5">
        <s v="Gross Profit Margin"/>
        <s v="Operating Profit Margin"/>
        <s v="Net Profit Margin"/>
        <s v="Return on Assets (ROA)"/>
        <s v="Return on Equity (ROE)"/>
      </sharedItems>
    </cacheField>
    <cacheField name="2020" numFmtId="0">
      <sharedItems containsSemiMixedTypes="0" containsString="0" containsNumber="1" minValue="3.5000000000000003E-2" maxValue="0.16"/>
    </cacheField>
    <cacheField name="2021" numFmtId="0">
      <sharedItems containsSemiMixedTypes="0" containsString="0" containsNumber="1" minValue="4.2999999999999997E-2" maxValue="0.17100000000000001"/>
    </cacheField>
    <cacheField name="2022" numFmtId="0">
      <sharedItems containsSemiMixedTypes="0" containsString="0" containsNumber="1" minValue="5.5E-2" maxValue="0.20200000000000001"/>
    </cacheField>
    <cacheField name="2023" numFmtId="0">
      <sharedItems containsSemiMixedTypes="0" containsString="0" containsNumber="1" minValue="7.0000000000000007E-2" maxValue="0.222"/>
    </cacheField>
    <cacheField name="2024" numFmtId="0">
      <sharedItems containsSemiMixedTypes="0" containsString="0" containsNumber="1" minValue="0.122" maxValue="0.312"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5">
  <r>
    <x v="0"/>
    <n v="0.14599999999999999"/>
    <n v="0.14399999999999999"/>
    <n v="0.155"/>
    <n v="0.17100000000000001"/>
    <n v="0.20100000000000001"/>
  </r>
  <r>
    <x v="1"/>
    <n v="7.5999999999999998E-2"/>
    <n v="7.5999999999999998E-2"/>
    <n v="0.09"/>
    <n v="0.104"/>
    <n v="0.125"/>
  </r>
  <r>
    <x v="2"/>
    <n v="3.5000000000000003E-2"/>
    <n v="4.2999999999999997E-2"/>
    <n v="5.5E-2"/>
    <n v="7.0000000000000007E-2"/>
    <n v="0.122"/>
  </r>
  <r>
    <x v="3"/>
    <n v="4.4999999999999998E-2"/>
    <n v="0.05"/>
    <n v="6.7000000000000004E-2"/>
    <n v="7.8E-2"/>
    <n v="0.128"/>
  </r>
  <r>
    <x v="4"/>
    <n v="0.16"/>
    <n v="0.17100000000000001"/>
    <n v="0.20200000000000001"/>
    <n v="0.222"/>
    <n v="0.312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06E18EB3-A040-4AD0-BE15-10EAE81EBEA6}" name="PivotTable1" cacheId="4080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">
  <location ref="A2:B8" firstHeaderRow="1" firstDataRow="1" firstDataCol="1"/>
  <pivotFields count="6">
    <pivotField axis="axisRow" showAll="0" sortType="descending">
      <items count="6">
        <item x="0"/>
        <item x="2"/>
        <item x="1"/>
        <item x="3"/>
        <item x="4"/>
        <item t="default"/>
      </items>
      <autoSortScope>
        <pivotArea dataOnly="0" outline="0" fieldPosition="0">
          <references count="1">
            <reference field="4294967294" count="1" selected="0">
              <x v="0"/>
            </reference>
          </references>
        </pivotArea>
      </autoSortScope>
    </pivotField>
    <pivotField showAll="0"/>
    <pivotField showAll="0"/>
    <pivotField showAll="0"/>
    <pivotField dataField="1" showAll="0"/>
    <pivotField showAll="0"/>
  </pivotFields>
  <rowFields count="1">
    <field x="0"/>
  </rowFields>
  <rowItems count="6">
    <i>
      <x v="4"/>
    </i>
    <i>
      <x/>
    </i>
    <i>
      <x v="2"/>
    </i>
    <i>
      <x v="3"/>
    </i>
    <i>
      <x v="1"/>
    </i>
    <i t="grand">
      <x/>
    </i>
  </rowItems>
  <colItems count="1">
    <i/>
  </colItems>
  <dataFields count="1">
    <dataField name="Sum of 2023" fld="4" baseField="0" baseItem="0"/>
  </dataFields>
  <chartFormats count="1">
    <chartFormat chart="0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45F82"/>
      </a:accent1>
      <a:accent2>
        <a:srgbClr val="E87331"/>
      </a:accent2>
      <a:accent3>
        <a:srgbClr val="186C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threadedComments/threadedComment1.xml><?xml version="1.0" encoding="utf-8"?>
<ThreadedComments xmlns="http://schemas.microsoft.com/office/spreadsheetml/2018/threadedcomments" xmlns:x="http://schemas.openxmlformats.org/spreadsheetml/2006/main">
  <threadedComment ref="C77" dT="2025-11-11T07:15:15.46" personId="{061006F1-8283-49DA-B273-E6747BCAC7ED}" id="{BE46FBAD-CBE8-40B3-A971-1D7E8744BD50}">
    <text>check note on cells</text>
  </threadedComment>
  <threadedComment ref="D77" dT="2025-11-11T03:03:45.46" personId="{061006F1-8283-49DA-B273-E6747BCAC7ED}" id="{F9EB0FC0-E426-4E6C-AE37-AC7437B82F28}">
    <text>Share price :Yahoo Finance
Date : Dec 30 , 2024
Time : 4 PM EST ( MARKET CLOSE)</text>
  </threadedComment>
  <threadedComment ref="E77" dT="2025-11-11T03:03:45.46" personId="{061006F1-8283-49DA-B273-E6747BCAC7ED}" id="{2BBD5D5A-D4CE-4C91-B4F5-0DF69CB053ED}">
    <text>Share price :Yahoo Finance
Date : Dec 25 , 2023
Time : 4 PM EST ( MARKET CLOSE)</text>
  </threadedComment>
  <threadedComment ref="F77" dT="2025-11-11T03:03:45.46" personId="{061006F1-8283-49DA-B273-E6747BCAC7ED}" id="{518B4B05-686F-441A-AFC0-60CF63DB1D0B}">
    <text>Share price :Yahoo Finance
Date : Dec 26 , 2022
Time : 4 PM EST ( MARKET CLOSE)</text>
  </threadedComment>
  <threadedComment ref="G77" dT="2025-11-11T03:03:45.46" personId="{061006F1-8283-49DA-B273-E6747BCAC7ED}" id="{01B80038-C24D-490D-8708-4AFF03977BDC}">
    <text>Share price :Yahoo Finance
Date : Dec 26 , 2021
Time : 4 PM EST ( MARKET CLOSE)</text>
  </threadedComment>
  <threadedComment ref="H77" dT="2025-11-16T12:06:50.60" personId="{061006F1-8283-49DA-B273-E6747BCAC7ED}" id="{9AD68D97-0BF0-4FFD-A438-EA1590A6C07F}">
    <text>Share price :Yahoo Finance
Date : Dec 28 , 2020
Time : 4 PM EST ( MARKET CLOSE)</text>
  </threadedComment>
  <threadedComment ref="D83" dT="2025-11-11T03:03:45.46" personId="{061006F1-8283-49DA-B273-E6747BCAC7ED}" id="{09A660D3-C75D-43A0-B892-0ABECE8B3773}">
    <text>Share price :Yahoo Finance
Date : Nov 9, 2025
Time : 4 PM EST ( MARKET CLOSE)</text>
  </threadedComment>
</ThreadedComments>
</file>

<file path=xl/threadedComments/threadedComment2.xml><?xml version="1.0" encoding="utf-8"?>
<ThreadedComments xmlns="http://schemas.microsoft.com/office/spreadsheetml/2018/threadedcomments" xmlns:x="http://schemas.openxmlformats.org/spreadsheetml/2006/main">
  <threadedComment ref="D7" dT="2025-11-11T04:43:03.81" personId="{061006F1-8283-49DA-B273-E6747BCAC7ED}" id="{E892FEFD-D16E-4197-BE44-2564D19C2B25}">
    <text>Income Statement- F22</text>
  </threadedComment>
</ThreadedComments>
</file>

<file path=xl/worksheets/_rels/sheet2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1.xml"/><Relationship Id="rId2" Type="http://schemas.openxmlformats.org/officeDocument/2006/relationships/comments" Target="../comments1.xml"/><Relationship Id="rId1" Type="http://schemas.openxmlformats.org/officeDocument/2006/relationships/vmlDrawing" Target="../drawings/vmlDrawing1.v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8.xml.rels><?xml version="1.0" encoding="UTF-8" standalone="yes"?>
<Relationships xmlns="http://schemas.openxmlformats.org/package/2006/relationships"><Relationship Id="rId3" Type="http://schemas.microsoft.com/office/2017/10/relationships/threadedComment" Target="../threadedComments/threadedComment2.xml"/><Relationship Id="rId2" Type="http://schemas.openxmlformats.org/officeDocument/2006/relationships/comments" Target="../comments2.xml"/><Relationship Id="rId1" Type="http://schemas.openxmlformats.org/officeDocument/2006/relationships/vmlDrawing" Target="../drawings/vmlDrawing2.vml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_rels/sheet12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STRL/" TargetMode="External"/><Relationship Id="rId2" Type="http://schemas.openxmlformats.org/officeDocument/2006/relationships/hyperlink" Target="https://www.barrons.com/market-data/stocks/strl?mod=quotes_search" TargetMode="External"/><Relationship Id="rId1" Type="http://schemas.openxmlformats.org/officeDocument/2006/relationships/hyperlink" Target="https://www.investing.com/rates-bonds/u.s.-10-year-bond-yield-historical-data" TargetMode="External"/><Relationship Id="rId4" Type="http://schemas.openxmlformats.org/officeDocument/2006/relationships/hyperlink" Target="https://pages.stern.nyu.edu/~adamodar/New_Home_Page/datafile/ctryprem.html" TargetMode="External"/></Relationships>
</file>

<file path=xl/worksheets/_rels/sheet13.xml.rels><?xml version="1.0" encoding="UTF-8" standalone="yes"?>
<Relationships xmlns="http://schemas.openxmlformats.org/package/2006/relationships"><Relationship Id="rId3" Type="http://schemas.openxmlformats.org/officeDocument/2006/relationships/hyperlink" Target="https://finance.yahoo.com/quote/STRL/" TargetMode="External"/><Relationship Id="rId2" Type="http://schemas.openxmlformats.org/officeDocument/2006/relationships/hyperlink" Target="https://www.barrons.com/market-data/stocks/strl?mod=quotes_search" TargetMode="External"/><Relationship Id="rId1" Type="http://schemas.openxmlformats.org/officeDocument/2006/relationships/hyperlink" Target="https://www.investing.com/rates-bonds/u.s.-10-year-bond-yield-historical-data" TargetMode="External"/><Relationship Id="rId5" Type="http://schemas.openxmlformats.org/officeDocument/2006/relationships/hyperlink" Target="https://www.sec.gov/ix?doc=/Archives/edgar/data/874238/000087423825000136/strl-20250930.htm" TargetMode="External"/><Relationship Id="rId4" Type="http://schemas.openxmlformats.org/officeDocument/2006/relationships/hyperlink" Target="https://pages.stern.nyu.edu/~adamodar/New_Home_Page/datafile/ctryprem.html" TargetMode="External"/></Relationships>
</file>

<file path=xl/worksheets/_rels/sheet19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5.xml"/><Relationship Id="rId1" Type="http://schemas.openxmlformats.org/officeDocument/2006/relationships/pivotTable" Target="../pivotTables/pivot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E3A0B7C-1974-4EC8-878B-8924A4D12F4D}">
  <sheetPr>
    <tabColor rgb="FFFFF700"/>
  </sheetPr>
  <dimension ref="A1:K55"/>
  <sheetViews>
    <sheetView workbookViewId="0">
      <selection activeCell="C16" sqref="C16"/>
    </sheetView>
  </sheetViews>
  <sheetFormatPr defaultColWidth="9.140625" defaultRowHeight="14.1"/>
  <cols>
    <col min="1" max="1" width="25.42578125" style="1" customWidth="1"/>
    <col min="2" max="2" width="39.85546875" style="1" customWidth="1"/>
    <col min="3" max="3" width="27" style="1" customWidth="1"/>
    <col min="4" max="4" width="20.42578125" style="1" customWidth="1"/>
    <col min="5" max="5" width="18.42578125" style="1" customWidth="1"/>
    <col min="6" max="16384" width="9.140625" style="1"/>
  </cols>
  <sheetData>
    <row r="1" spans="1:11" ht="36" customHeight="1">
      <c r="E1" s="401"/>
      <c r="F1" s="401"/>
      <c r="G1" s="401"/>
      <c r="H1" s="401"/>
      <c r="I1" s="401"/>
      <c r="J1" s="401"/>
      <c r="K1" s="401"/>
    </row>
    <row r="2" spans="1:11" ht="14.1" customHeight="1">
      <c r="A2" s="34" t="s">
        <v>0</v>
      </c>
    </row>
    <row r="3" spans="1:11" ht="15"/>
    <row r="4" spans="1:11" ht="15">
      <c r="A4" s="1" t="s">
        <v>1</v>
      </c>
      <c r="B4" s="36" t="s">
        <v>2</v>
      </c>
      <c r="C4" s="73" t="s">
        <v>3</v>
      </c>
    </row>
    <row r="5" spans="1:11" ht="15">
      <c r="A5" s="1" t="s">
        <v>4</v>
      </c>
      <c r="B5" s="36" t="s">
        <v>5</v>
      </c>
    </row>
    <row r="6" spans="1:11">
      <c r="A6" s="1" t="s">
        <v>6</v>
      </c>
      <c r="B6" s="1" t="s">
        <v>7</v>
      </c>
    </row>
    <row r="7" spans="1:11">
      <c r="A7" s="1" t="s">
        <v>8</v>
      </c>
      <c r="B7" s="37" t="s">
        <v>9</v>
      </c>
    </row>
    <row r="8" spans="1:11">
      <c r="A8" s="1" t="s">
        <v>10</v>
      </c>
      <c r="B8" s="51" t="s">
        <v>11</v>
      </c>
    </row>
    <row r="9" spans="1:11">
      <c r="B9" s="50"/>
    </row>
    <row r="10" spans="1:11">
      <c r="A10" s="34" t="s">
        <v>12</v>
      </c>
    </row>
    <row r="12" spans="1:11">
      <c r="A12" s="1" t="s">
        <v>13</v>
      </c>
    </row>
    <row r="13" spans="1:11">
      <c r="A13" s="36" t="s">
        <v>14</v>
      </c>
    </row>
    <row r="14" spans="1:11">
      <c r="A14" s="36"/>
    </row>
    <row r="15" spans="1:11">
      <c r="A15" s="500" t="s">
        <v>15</v>
      </c>
      <c r="B15" s="500"/>
    </row>
    <row r="17" spans="1:3">
      <c r="A17" s="2" t="s">
        <v>16</v>
      </c>
    </row>
    <row r="19" spans="1:3">
      <c r="A19" s="501" t="s">
        <v>17</v>
      </c>
      <c r="B19" s="501"/>
      <c r="C19" s="501"/>
    </row>
    <row r="20" spans="1:3">
      <c r="A20" s="501" t="s">
        <v>18</v>
      </c>
      <c r="B20" s="501"/>
      <c r="C20" s="501"/>
    </row>
    <row r="21" spans="1:3">
      <c r="A21" s="501" t="s">
        <v>19</v>
      </c>
      <c r="B21" s="501"/>
      <c r="C21" s="501"/>
    </row>
    <row r="23" spans="1:3">
      <c r="A23" s="2" t="s">
        <v>20</v>
      </c>
    </row>
    <row r="25" spans="1:3">
      <c r="A25" s="1" t="s">
        <v>21</v>
      </c>
    </row>
    <row r="26" spans="1:3">
      <c r="A26" s="1" t="s">
        <v>22</v>
      </c>
    </row>
    <row r="27" spans="1:3">
      <c r="A27" s="1" t="s">
        <v>23</v>
      </c>
    </row>
    <row r="29" spans="1:3">
      <c r="A29" s="2" t="s">
        <v>24</v>
      </c>
    </row>
    <row r="31" spans="1:3">
      <c r="A31" s="1" t="s">
        <v>25</v>
      </c>
    </row>
    <row r="32" spans="1:3">
      <c r="A32" s="1" t="s">
        <v>26</v>
      </c>
    </row>
    <row r="33" spans="1:6">
      <c r="A33" s="1" t="s">
        <v>27</v>
      </c>
    </row>
    <row r="35" spans="1:6">
      <c r="A35" s="34" t="s">
        <v>28</v>
      </c>
    </row>
    <row r="36" spans="1:6">
      <c r="A36" s="35"/>
    </row>
    <row r="37" spans="1:6">
      <c r="A37" s="26" t="s">
        <v>29</v>
      </c>
      <c r="B37" s="4">
        <v>2023</v>
      </c>
      <c r="C37" s="4">
        <v>2024</v>
      </c>
      <c r="D37" s="4" t="s">
        <v>30</v>
      </c>
    </row>
    <row r="38" spans="1:6">
      <c r="A38" s="17"/>
      <c r="B38" s="17"/>
      <c r="C38" s="17"/>
      <c r="D38" s="6"/>
    </row>
    <row r="39" spans="1:6">
      <c r="A39" s="17" t="s">
        <v>31</v>
      </c>
      <c r="B39" s="31" t="s">
        <v>32</v>
      </c>
      <c r="C39" s="31" t="s">
        <v>33</v>
      </c>
      <c r="D39" s="38">
        <v>7.2999999999999995E-2</v>
      </c>
    </row>
    <row r="40" spans="1:6">
      <c r="A40" s="17" t="s">
        <v>34</v>
      </c>
      <c r="B40" s="31" t="s">
        <v>35</v>
      </c>
      <c r="C40" s="31" t="s">
        <v>36</v>
      </c>
      <c r="D40" s="38">
        <v>0.85699999999999998</v>
      </c>
    </row>
    <row r="41" spans="1:6">
      <c r="A41" s="17" t="s">
        <v>37</v>
      </c>
      <c r="B41" s="31" t="s">
        <v>38</v>
      </c>
      <c r="C41" s="31" t="s">
        <v>39</v>
      </c>
      <c r="D41" s="38">
        <v>3.9E-2</v>
      </c>
    </row>
    <row r="42" spans="1:6">
      <c r="A42" s="17" t="s">
        <v>40</v>
      </c>
      <c r="B42" s="31">
        <v>1.25</v>
      </c>
      <c r="C42" s="31">
        <v>1.38</v>
      </c>
      <c r="D42" s="38">
        <v>0.104</v>
      </c>
    </row>
    <row r="43" spans="1:6">
      <c r="A43" s="17"/>
      <c r="B43" s="17"/>
      <c r="C43" s="17"/>
      <c r="D43" s="6"/>
    </row>
    <row r="44" spans="1:6">
      <c r="A44" s="20" t="s">
        <v>41</v>
      </c>
      <c r="B44" s="32">
        <v>0.55000000000000004</v>
      </c>
      <c r="C44" s="32">
        <v>0.38</v>
      </c>
      <c r="D44" s="39">
        <v>-0.309</v>
      </c>
    </row>
    <row r="46" spans="1:6" ht="15">
      <c r="A46" s="34" t="s">
        <v>42</v>
      </c>
    </row>
    <row r="47" spans="1:6" ht="15">
      <c r="A47" s="35"/>
    </row>
    <row r="48" spans="1:6" ht="41.25" customHeight="1">
      <c r="A48" s="402" t="s">
        <v>43</v>
      </c>
      <c r="B48" s="403"/>
      <c r="C48" s="403"/>
      <c r="D48" s="403"/>
      <c r="E48" s="403"/>
      <c r="F48" s="403"/>
    </row>
    <row r="49" spans="1:1" ht="15"/>
    <row r="50" spans="1:1">
      <c r="A50" s="34" t="s">
        <v>44</v>
      </c>
    </row>
    <row r="51" spans="1:1">
      <c r="A51" s="1" t="s">
        <v>45</v>
      </c>
    </row>
    <row r="53" spans="1:1" ht="15"/>
    <row r="55" spans="1:1" ht="15"/>
  </sheetData>
  <mergeCells count="6">
    <mergeCell ref="E1:K1"/>
    <mergeCell ref="A48:F48"/>
    <mergeCell ref="A15:B15"/>
    <mergeCell ref="A19:C19"/>
    <mergeCell ref="A20:C20"/>
    <mergeCell ref="A21:C21"/>
  </mergeCell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tabColor rgb="FFFFF700"/>
  </sheetPr>
  <dimension ref="A1:P84"/>
  <sheetViews>
    <sheetView zoomScale="120" zoomScaleNormal="120" workbookViewId="0">
      <selection activeCell="J76" sqref="J76"/>
    </sheetView>
  </sheetViews>
  <sheetFormatPr defaultColWidth="9.140625" defaultRowHeight="15" customHeight="1"/>
  <cols>
    <col min="1" max="1" width="20.7109375" style="1" customWidth="1"/>
    <col min="2" max="2" width="9.140625" style="1"/>
    <col min="3" max="3" width="66" style="1" customWidth="1"/>
    <col min="4" max="4" width="31.140625" style="1" customWidth="1"/>
    <col min="5" max="5" width="23" style="1" customWidth="1"/>
    <col min="6" max="6" width="25.85546875" style="1" customWidth="1"/>
    <col min="7" max="7" width="24.7109375" style="1" customWidth="1"/>
    <col min="8" max="8" width="29.28515625" style="1" customWidth="1"/>
    <col min="9" max="10" width="28.140625" style="1" customWidth="1"/>
    <col min="11" max="11" width="10.28515625" style="1" customWidth="1"/>
    <col min="12" max="12" width="44.7109375" style="1" customWidth="1"/>
    <col min="13" max="13" width="17" style="1" customWidth="1"/>
    <col min="14" max="14" width="11.7109375" style="1" customWidth="1"/>
    <col min="15" max="15" width="12" style="1" customWidth="1"/>
    <col min="16" max="16" width="11.28515625" style="1" customWidth="1"/>
    <col min="17" max="16384" width="9.140625" style="1"/>
  </cols>
  <sheetData>
    <row r="1" spans="1:16" ht="17.25" customHeight="1">
      <c r="A1" s="34" t="s">
        <v>46</v>
      </c>
      <c r="B1" s="35" t="s">
        <v>47</v>
      </c>
    </row>
    <row r="2" spans="1:16">
      <c r="L2" s="2" t="s">
        <v>48</v>
      </c>
      <c r="N2" s="1" t="s">
        <v>49</v>
      </c>
    </row>
    <row r="3" spans="1:16">
      <c r="C3" s="23" t="s">
        <v>50</v>
      </c>
      <c r="D3" s="23"/>
      <c r="E3" s="23"/>
      <c r="F3" s="1" t="s">
        <v>49</v>
      </c>
      <c r="L3" s="2" t="s">
        <v>51</v>
      </c>
    </row>
    <row r="4" spans="1:16" ht="15" customHeight="1">
      <c r="A4" s="1">
        <v>0</v>
      </c>
    </row>
    <row r="5" spans="1:16" ht="41.1" customHeight="1">
      <c r="B5" s="3" t="s">
        <v>52</v>
      </c>
      <c r="C5" s="4" t="s">
        <v>53</v>
      </c>
      <c r="D5" s="79">
        <v>2024</v>
      </c>
      <c r="E5" s="152">
        <v>2023</v>
      </c>
      <c r="F5" s="153">
        <v>2022</v>
      </c>
      <c r="G5" s="154">
        <v>2021</v>
      </c>
      <c r="H5" s="215">
        <v>2020</v>
      </c>
      <c r="I5" s="215">
        <v>2019</v>
      </c>
      <c r="K5" s="4" t="s">
        <v>52</v>
      </c>
      <c r="L5" s="33" t="s">
        <v>53</v>
      </c>
      <c r="M5" s="66" t="s">
        <v>54</v>
      </c>
      <c r="N5" s="66" t="s">
        <v>55</v>
      </c>
      <c r="O5" s="66" t="s">
        <v>56</v>
      </c>
      <c r="P5" s="67" t="s">
        <v>57</v>
      </c>
    </row>
    <row r="6" spans="1:16">
      <c r="B6" s="5">
        <v>1</v>
      </c>
      <c r="C6" s="6" t="s">
        <v>58</v>
      </c>
      <c r="D6" s="8">
        <v>2115756</v>
      </c>
      <c r="E6" s="8">
        <v>1972229</v>
      </c>
      <c r="F6" s="8">
        <v>1769436</v>
      </c>
      <c r="G6" s="8">
        <v>1414374</v>
      </c>
      <c r="H6" s="62">
        <v>1226738</v>
      </c>
      <c r="I6" s="62">
        <v>1126278</v>
      </c>
      <c r="K6" s="5">
        <v>1</v>
      </c>
      <c r="L6" s="6" t="s">
        <v>58</v>
      </c>
      <c r="M6" s="8">
        <v>689019</v>
      </c>
      <c r="N6" s="8">
        <v>593741</v>
      </c>
      <c r="O6" s="8">
        <v>1734436</v>
      </c>
      <c r="P6" s="8">
        <v>1616923</v>
      </c>
    </row>
    <row r="7" spans="1:16">
      <c r="B7" s="5">
        <v>2</v>
      </c>
      <c r="C7" s="6" t="s">
        <v>59</v>
      </c>
      <c r="D7" s="8">
        <v>-1689633</v>
      </c>
      <c r="E7" s="8">
        <v>-1634591</v>
      </c>
      <c r="F7" s="8">
        <v>-1494869</v>
      </c>
      <c r="G7" s="41">
        <v>-1210842</v>
      </c>
      <c r="H7" s="208">
        <v>-1047108</v>
      </c>
      <c r="I7" s="208">
        <v>-1018484</v>
      </c>
      <c r="K7" s="5">
        <v>2</v>
      </c>
      <c r="L7" s="6" t="s">
        <v>59</v>
      </c>
      <c r="M7" s="8">
        <v>-518803</v>
      </c>
      <c r="N7" s="8">
        <v>-463942</v>
      </c>
      <c r="O7" s="8">
        <v>-1326240</v>
      </c>
      <c r="P7" s="8">
        <v>-1297477</v>
      </c>
    </row>
    <row r="8" spans="1:16">
      <c r="B8" s="5">
        <v>3</v>
      </c>
      <c r="C8" s="17" t="s">
        <v>60</v>
      </c>
      <c r="D8" s="64">
        <v>426123</v>
      </c>
      <c r="E8" s="62">
        <v>337638</v>
      </c>
      <c r="F8" s="62">
        <v>274567</v>
      </c>
      <c r="G8" s="62">
        <v>203532</v>
      </c>
      <c r="H8" s="8">
        <v>179630</v>
      </c>
      <c r="I8" s="8">
        <v>107794</v>
      </c>
      <c r="K8" s="5">
        <v>3</v>
      </c>
      <c r="L8" s="65" t="s">
        <v>60</v>
      </c>
      <c r="M8" s="62">
        <v>170216</v>
      </c>
      <c r="N8" s="62">
        <v>129799</v>
      </c>
      <c r="O8" s="62">
        <v>408196</v>
      </c>
      <c r="P8" s="62">
        <v>319446</v>
      </c>
    </row>
    <row r="9" spans="1:16">
      <c r="B9" s="5">
        <v>4</v>
      </c>
      <c r="C9" s="6" t="s">
        <v>61</v>
      </c>
      <c r="D9" s="8">
        <v>-118424</v>
      </c>
      <c r="E9" s="8">
        <v>-98703</v>
      </c>
      <c r="F9" s="8">
        <v>-86480</v>
      </c>
      <c r="G9" s="8">
        <v>-69153</v>
      </c>
      <c r="H9" s="8">
        <v>-64308</v>
      </c>
      <c r="I9" s="8">
        <v>-49200</v>
      </c>
      <c r="J9" s="59"/>
      <c r="K9" s="5">
        <v>4</v>
      </c>
      <c r="L9" s="6" t="s">
        <v>61</v>
      </c>
      <c r="M9" s="61">
        <v>-37585</v>
      </c>
      <c r="N9" s="61">
        <v>-30672</v>
      </c>
      <c r="O9" s="61">
        <v>-106203</v>
      </c>
      <c r="P9" s="61">
        <v>-85826</v>
      </c>
    </row>
    <row r="10" spans="1:16">
      <c r="B10" s="5">
        <v>5</v>
      </c>
      <c r="C10" s="6" t="s">
        <v>62</v>
      </c>
      <c r="D10" s="8">
        <v>-17037</v>
      </c>
      <c r="E10" s="8">
        <v>-15229</v>
      </c>
      <c r="F10" s="8">
        <v>-14100</v>
      </c>
      <c r="G10" s="8">
        <v>-11464</v>
      </c>
      <c r="H10" s="8">
        <v>-11436</v>
      </c>
      <c r="I10" s="8">
        <v>-4695</v>
      </c>
      <c r="J10" s="59"/>
      <c r="K10" s="5">
        <v>5</v>
      </c>
      <c r="L10" s="6" t="s">
        <v>62</v>
      </c>
      <c r="M10" s="61">
        <v>-6035</v>
      </c>
      <c r="N10" s="61">
        <v>-4280</v>
      </c>
      <c r="O10" s="61">
        <v>-15074</v>
      </c>
      <c r="P10" s="61">
        <v>-12857</v>
      </c>
    </row>
    <row r="11" spans="1:16">
      <c r="B11" s="5">
        <v>6</v>
      </c>
      <c r="C11" s="6" t="s">
        <v>63</v>
      </c>
      <c r="D11" s="8">
        <v>-421</v>
      </c>
      <c r="E11" s="8">
        <v>-873</v>
      </c>
      <c r="F11" s="8">
        <v>-827</v>
      </c>
      <c r="G11" s="8">
        <v>-3877</v>
      </c>
      <c r="H11" s="8">
        <v>-1026</v>
      </c>
      <c r="I11" s="8">
        <v>-4311</v>
      </c>
      <c r="K11" s="5">
        <v>6</v>
      </c>
      <c r="L11" s="6" t="s">
        <v>63</v>
      </c>
      <c r="M11" s="8">
        <v>-5349</v>
      </c>
      <c r="N11" s="8">
        <v>-72</v>
      </c>
      <c r="O11" s="8">
        <v>-8023</v>
      </c>
      <c r="P11" s="8">
        <v>-209</v>
      </c>
    </row>
    <row r="12" spans="1:16">
      <c r="B12" s="5">
        <v>7</v>
      </c>
      <c r="C12" s="6" t="s">
        <v>64</v>
      </c>
      <c r="D12" s="8">
        <v>-25619</v>
      </c>
      <c r="E12" s="8">
        <v>-17041</v>
      </c>
      <c r="F12" s="8">
        <v>-13290</v>
      </c>
      <c r="G12" s="8">
        <v>-12027</v>
      </c>
      <c r="H12" s="8">
        <v>-10245</v>
      </c>
      <c r="I12" s="8">
        <v>-11837</v>
      </c>
      <c r="K12" s="69">
        <v>7</v>
      </c>
      <c r="L12" s="68" t="s">
        <v>65</v>
      </c>
      <c r="M12" s="8">
        <v>-1343</v>
      </c>
      <c r="N12" s="8">
        <v>-1000</v>
      </c>
      <c r="O12" s="8">
        <v>-4029</v>
      </c>
      <c r="P12" s="8">
        <v>-3000</v>
      </c>
    </row>
    <row r="13" spans="1:16">
      <c r="B13" s="5">
        <v>8</v>
      </c>
      <c r="C13" s="6" t="s">
        <v>66</v>
      </c>
      <c r="D13" s="62">
        <v>264622</v>
      </c>
      <c r="E13" s="62">
        <v>205795</v>
      </c>
      <c r="F13" s="62">
        <v>159870</v>
      </c>
      <c r="G13" s="209">
        <v>107011</v>
      </c>
      <c r="H13" s="207">
        <v>92615</v>
      </c>
      <c r="I13" s="207">
        <v>37751</v>
      </c>
      <c r="K13" s="69">
        <v>8</v>
      </c>
      <c r="L13" s="1" t="s">
        <v>64</v>
      </c>
      <c r="M13" s="64">
        <v>5405</v>
      </c>
      <c r="N13" s="62">
        <v>-6283</v>
      </c>
      <c r="O13" s="62">
        <v>11082</v>
      </c>
      <c r="P13" s="62">
        <v>-15203</v>
      </c>
    </row>
    <row r="14" spans="1:16">
      <c r="B14" s="5">
        <v>9</v>
      </c>
      <c r="C14" s="6" t="s">
        <v>67</v>
      </c>
      <c r="D14" s="8">
        <v>27622</v>
      </c>
      <c r="E14" s="8">
        <v>14140</v>
      </c>
      <c r="F14" s="8">
        <v>885</v>
      </c>
      <c r="G14" s="41">
        <v>45</v>
      </c>
      <c r="H14" s="201">
        <v>149</v>
      </c>
      <c r="I14" s="201">
        <v>1142</v>
      </c>
      <c r="K14" s="69">
        <v>9</v>
      </c>
      <c r="L14" s="16" t="s">
        <v>66</v>
      </c>
      <c r="M14" s="8">
        <v>125309</v>
      </c>
      <c r="N14" s="8">
        <v>87492</v>
      </c>
      <c r="O14" s="8">
        <v>285949</v>
      </c>
      <c r="P14" s="8">
        <v>202351</v>
      </c>
    </row>
    <row r="15" spans="1:16">
      <c r="B15" s="5">
        <v>10</v>
      </c>
      <c r="C15" s="6" t="s">
        <v>68</v>
      </c>
      <c r="D15" s="8">
        <v>-25255</v>
      </c>
      <c r="E15" s="8">
        <v>-29320</v>
      </c>
      <c r="F15" s="8">
        <v>-20591</v>
      </c>
      <c r="G15" s="41">
        <v>-19311</v>
      </c>
      <c r="H15" s="201">
        <v>-29332</v>
      </c>
      <c r="I15" s="201">
        <v>-16686</v>
      </c>
      <c r="K15" s="69">
        <v>10</v>
      </c>
      <c r="L15" s="16" t="s">
        <v>67</v>
      </c>
      <c r="M15" s="8">
        <v>5677</v>
      </c>
      <c r="N15" s="8">
        <v>7591</v>
      </c>
      <c r="O15" s="8">
        <v>19405</v>
      </c>
      <c r="P15" s="8">
        <v>19798</v>
      </c>
    </row>
    <row r="16" spans="1:16">
      <c r="B16" s="5">
        <v>11</v>
      </c>
      <c r="C16" s="6" t="s">
        <v>69</v>
      </c>
      <c r="D16" s="8">
        <v>91289</v>
      </c>
      <c r="E16" s="60" t="s">
        <v>70</v>
      </c>
      <c r="F16" s="60" t="s">
        <v>70</v>
      </c>
      <c r="G16" s="210">
        <v>1064</v>
      </c>
      <c r="H16" s="208">
        <v>-301</v>
      </c>
      <c r="I16" s="208">
        <v>-7728</v>
      </c>
      <c r="K16" s="69">
        <v>11</v>
      </c>
      <c r="L16" s="16" t="s">
        <v>68</v>
      </c>
      <c r="M16" s="60">
        <v>-4140</v>
      </c>
      <c r="N16" s="60">
        <v>-6286</v>
      </c>
      <c r="O16" s="60">
        <v>-14367</v>
      </c>
      <c r="P16" s="60">
        <v>-19463</v>
      </c>
    </row>
    <row r="17" spans="2:16">
      <c r="B17" s="5">
        <v>12</v>
      </c>
      <c r="C17" s="6" t="s">
        <v>71</v>
      </c>
      <c r="D17" s="62">
        <v>358278</v>
      </c>
      <c r="E17" s="62">
        <v>190615</v>
      </c>
      <c r="F17" s="62">
        <v>140164</v>
      </c>
      <c r="G17" s="62">
        <v>88809</v>
      </c>
      <c r="H17" s="8">
        <v>63131</v>
      </c>
      <c r="I17" s="8">
        <v>14479</v>
      </c>
      <c r="K17" s="69">
        <v>12</v>
      </c>
      <c r="L17" s="16" t="s">
        <v>71</v>
      </c>
      <c r="M17" s="62">
        <v>126846</v>
      </c>
      <c r="N17" s="62">
        <v>88797</v>
      </c>
      <c r="O17" s="62">
        <v>290987</v>
      </c>
      <c r="P17" s="62">
        <v>202686</v>
      </c>
    </row>
    <row r="18" spans="2:16">
      <c r="B18" s="5">
        <v>13</v>
      </c>
      <c r="C18" s="6" t="s">
        <v>72</v>
      </c>
      <c r="D18" s="8">
        <v>-87360</v>
      </c>
      <c r="E18" s="8">
        <v>-47770</v>
      </c>
      <c r="F18" s="8">
        <v>-41707</v>
      </c>
      <c r="G18" s="8">
        <v>-24874</v>
      </c>
      <c r="H18" s="8">
        <v>-19410</v>
      </c>
      <c r="I18" s="8">
        <v>-26216</v>
      </c>
      <c r="K18" s="69">
        <v>13</v>
      </c>
      <c r="L18" s="16" t="s">
        <v>72</v>
      </c>
      <c r="M18" s="8">
        <v>-30517</v>
      </c>
      <c r="N18" s="8">
        <v>-23404</v>
      </c>
      <c r="O18" s="8">
        <v>-72959</v>
      </c>
      <c r="P18" s="8">
        <v>-48960</v>
      </c>
    </row>
    <row r="19" spans="2:16">
      <c r="B19" s="5">
        <v>14</v>
      </c>
      <c r="C19" s="6" t="s">
        <v>73</v>
      </c>
      <c r="D19" s="62">
        <v>270918</v>
      </c>
      <c r="E19" s="62">
        <v>142845</v>
      </c>
      <c r="F19" s="62">
        <v>98457</v>
      </c>
      <c r="G19" s="62">
        <v>63935</v>
      </c>
      <c r="H19" s="62">
        <v>43721</v>
      </c>
      <c r="I19" s="62">
        <v>40695</v>
      </c>
      <c r="K19" s="69">
        <v>14</v>
      </c>
      <c r="L19" s="16" t="s">
        <v>73</v>
      </c>
      <c r="M19" s="62">
        <v>96329</v>
      </c>
      <c r="N19" s="62">
        <v>65393</v>
      </c>
      <c r="O19" s="62">
        <v>218028</v>
      </c>
      <c r="P19" s="62">
        <v>153726</v>
      </c>
    </row>
    <row r="20" spans="2:16">
      <c r="B20" s="5">
        <v>15</v>
      </c>
      <c r="C20" s="6" t="s">
        <v>74</v>
      </c>
      <c r="D20" s="8">
        <v>-13457</v>
      </c>
      <c r="E20" s="8">
        <v>-4190</v>
      </c>
      <c r="F20" s="8">
        <v>-1740</v>
      </c>
      <c r="G20" s="41">
        <v>-2478</v>
      </c>
      <c r="H20" s="201">
        <v>-598</v>
      </c>
      <c r="I20" s="201">
        <v>-794</v>
      </c>
      <c r="K20" s="69">
        <v>15</v>
      </c>
      <c r="L20" s="16" t="s">
        <v>74</v>
      </c>
      <c r="M20" s="8">
        <v>-4241</v>
      </c>
      <c r="N20" s="8">
        <v>-4072</v>
      </c>
      <c r="O20" s="8">
        <v>-15472</v>
      </c>
      <c r="P20" s="8">
        <v>-9478</v>
      </c>
    </row>
    <row r="21" spans="2:16" ht="14.25">
      <c r="B21" s="5">
        <v>16</v>
      </c>
      <c r="C21" s="6" t="s">
        <v>75</v>
      </c>
      <c r="D21" s="216">
        <v>257461</v>
      </c>
      <c r="E21" s="217">
        <v>138655</v>
      </c>
      <c r="F21" s="218">
        <v>96717</v>
      </c>
      <c r="G21" s="219">
        <v>61457</v>
      </c>
      <c r="H21" s="220">
        <v>43123</v>
      </c>
      <c r="I21" s="220">
        <v>39901</v>
      </c>
      <c r="K21" s="69">
        <v>16</v>
      </c>
      <c r="L21" s="16" t="s">
        <v>76</v>
      </c>
      <c r="M21" s="63">
        <v>92088</v>
      </c>
      <c r="N21" s="63">
        <v>61321</v>
      </c>
      <c r="O21" s="63">
        <v>202556</v>
      </c>
      <c r="P21" s="63">
        <v>144248</v>
      </c>
    </row>
    <row r="22" spans="2:16">
      <c r="B22" s="5">
        <v>17</v>
      </c>
      <c r="C22" s="6" t="s">
        <v>77</v>
      </c>
      <c r="D22" s="9">
        <v>8.35</v>
      </c>
      <c r="E22" s="9">
        <v>4.51</v>
      </c>
      <c r="F22" s="9">
        <v>3.2</v>
      </c>
      <c r="G22" s="213">
        <v>2.15</v>
      </c>
      <c r="H22" s="211">
        <v>1.55</v>
      </c>
      <c r="I22" s="211">
        <v>1.5</v>
      </c>
      <c r="K22" s="69">
        <v>17</v>
      </c>
      <c r="L22" s="16" t="s">
        <v>77</v>
      </c>
      <c r="M22" s="9">
        <v>3.02</v>
      </c>
      <c r="N22" s="9">
        <v>2</v>
      </c>
      <c r="O22" s="9">
        <v>6.64</v>
      </c>
      <c r="P22" s="9">
        <v>4.67</v>
      </c>
    </row>
    <row r="23" spans="2:16">
      <c r="B23" s="11">
        <v>18</v>
      </c>
      <c r="C23" s="7" t="s">
        <v>78</v>
      </c>
      <c r="D23" s="10">
        <v>8.27</v>
      </c>
      <c r="E23" s="10">
        <v>4.4400000000000004</v>
      </c>
      <c r="F23" s="10">
        <v>3.16</v>
      </c>
      <c r="G23" s="214">
        <v>2.11</v>
      </c>
      <c r="H23" s="212">
        <v>1.53</v>
      </c>
      <c r="I23" s="212">
        <v>1.47</v>
      </c>
      <c r="K23" s="70">
        <v>18</v>
      </c>
      <c r="L23" s="21" t="s">
        <v>78</v>
      </c>
      <c r="M23" s="10">
        <v>2.97</v>
      </c>
      <c r="N23" s="10">
        <v>1.97</v>
      </c>
      <c r="O23" s="10">
        <v>6.56</v>
      </c>
      <c r="P23" s="10">
        <v>4.63</v>
      </c>
    </row>
    <row r="26" spans="2:16">
      <c r="C26" s="23" t="s">
        <v>79</v>
      </c>
      <c r="D26" s="23"/>
      <c r="E26" s="23"/>
    </row>
    <row r="27" spans="2:16" ht="15" customHeight="1">
      <c r="E27" s="1" t="s">
        <v>80</v>
      </c>
    </row>
    <row r="28" spans="2:16">
      <c r="B28" s="13"/>
      <c r="C28" s="3" t="s">
        <v>53</v>
      </c>
      <c r="D28" s="124">
        <v>2024</v>
      </c>
      <c r="E28" s="125">
        <v>2023</v>
      </c>
      <c r="F28" s="126">
        <v>2022</v>
      </c>
      <c r="G28" s="127">
        <v>2021</v>
      </c>
      <c r="H28" s="169">
        <v>2020</v>
      </c>
      <c r="I28" s="232">
        <v>2019</v>
      </c>
      <c r="J28" s="376"/>
      <c r="L28" s="171"/>
      <c r="M28" s="171"/>
    </row>
    <row r="29" spans="2:16">
      <c r="B29" s="13"/>
      <c r="C29" s="12" t="s">
        <v>81</v>
      </c>
      <c r="D29" s="8"/>
      <c r="E29" s="8"/>
      <c r="F29" s="128"/>
      <c r="G29" s="128"/>
      <c r="H29" s="128"/>
      <c r="I29" s="128"/>
      <c r="J29" s="2"/>
    </row>
    <row r="30" spans="2:16">
      <c r="B30" s="13"/>
      <c r="C30" s="12" t="s">
        <v>82</v>
      </c>
      <c r="D30" s="8"/>
      <c r="E30" s="8"/>
      <c r="F30" s="8"/>
      <c r="G30" s="8"/>
      <c r="H30" s="8"/>
      <c r="I30" s="8"/>
      <c r="J30" s="41"/>
    </row>
    <row r="31" spans="2:16">
      <c r="B31" s="13"/>
      <c r="C31" s="6" t="s">
        <v>83</v>
      </c>
      <c r="D31" s="8">
        <v>664195</v>
      </c>
      <c r="E31" s="8">
        <v>471563</v>
      </c>
      <c r="F31" s="8">
        <v>181544</v>
      </c>
      <c r="G31" s="8">
        <v>81840</v>
      </c>
      <c r="H31" s="8">
        <v>66185</v>
      </c>
      <c r="I31" s="8">
        <v>45733</v>
      </c>
      <c r="J31" s="41"/>
    </row>
    <row r="32" spans="2:16">
      <c r="B32" s="13"/>
      <c r="C32" s="6" t="s">
        <v>84</v>
      </c>
      <c r="D32" s="8">
        <v>247000</v>
      </c>
      <c r="E32" s="8">
        <v>252435</v>
      </c>
      <c r="F32" s="8">
        <v>262646</v>
      </c>
      <c r="G32" s="8">
        <v>232153</v>
      </c>
      <c r="H32" s="8">
        <v>177424</v>
      </c>
      <c r="I32" s="8">
        <v>248247</v>
      </c>
      <c r="J32" s="41"/>
    </row>
    <row r="33" spans="2:10">
      <c r="B33" s="13"/>
      <c r="C33" s="6" t="s">
        <v>85</v>
      </c>
      <c r="D33" s="8">
        <v>55387</v>
      </c>
      <c r="E33" s="8">
        <v>88600</v>
      </c>
      <c r="F33" s="8">
        <v>109803</v>
      </c>
      <c r="G33" s="8">
        <v>83310</v>
      </c>
      <c r="H33" s="8">
        <v>84975</v>
      </c>
      <c r="I33" s="8">
        <v>42555</v>
      </c>
      <c r="J33" s="41"/>
    </row>
    <row r="34" spans="2:10">
      <c r="B34" s="13"/>
      <c r="C34" s="6" t="s">
        <v>86</v>
      </c>
      <c r="D34" s="8">
        <v>5811</v>
      </c>
      <c r="E34" s="8">
        <v>17506</v>
      </c>
      <c r="F34" s="8">
        <v>14122</v>
      </c>
      <c r="G34" s="8">
        <v>16896</v>
      </c>
      <c r="H34" s="8">
        <v>16653</v>
      </c>
      <c r="I34" s="8">
        <v>9196</v>
      </c>
      <c r="J34" s="41"/>
    </row>
    <row r="35" spans="2:10">
      <c r="B35" s="13"/>
      <c r="C35" s="6" t="s">
        <v>87</v>
      </c>
      <c r="D35" s="8">
        <v>17583</v>
      </c>
      <c r="E35" s="8">
        <v>17875</v>
      </c>
      <c r="F35" s="8">
        <v>29139</v>
      </c>
      <c r="G35" s="8">
        <v>20492</v>
      </c>
      <c r="H35" s="8">
        <v>16306</v>
      </c>
      <c r="I35" s="8">
        <v>11790</v>
      </c>
      <c r="J35" s="41"/>
    </row>
    <row r="36" spans="2:10">
      <c r="B36" s="13"/>
      <c r="C36" s="26" t="s">
        <v>88</v>
      </c>
      <c r="D36" s="72">
        <v>1021880</v>
      </c>
      <c r="E36" s="72">
        <v>847979</v>
      </c>
      <c r="F36" s="187">
        <v>597254</v>
      </c>
      <c r="G36" s="187">
        <v>434691</v>
      </c>
      <c r="H36" s="187">
        <v>361543</v>
      </c>
      <c r="I36" s="187">
        <v>357521</v>
      </c>
      <c r="J36" s="377"/>
    </row>
    <row r="37" spans="2:10">
      <c r="B37" s="13"/>
      <c r="C37" s="6" t="s">
        <v>89</v>
      </c>
      <c r="D37" s="8">
        <v>235795</v>
      </c>
      <c r="E37" s="8">
        <v>243448</v>
      </c>
      <c r="F37" s="8">
        <v>215482</v>
      </c>
      <c r="G37" s="8">
        <v>204316</v>
      </c>
      <c r="H37" s="8">
        <v>126668</v>
      </c>
      <c r="I37" s="8">
        <v>116030</v>
      </c>
      <c r="J37" s="41"/>
    </row>
    <row r="38" spans="2:10">
      <c r="B38" s="13"/>
      <c r="C38" s="6"/>
      <c r="D38" s="8"/>
      <c r="E38" s="8"/>
      <c r="F38" s="8"/>
      <c r="G38" s="8"/>
      <c r="H38" s="8"/>
      <c r="I38" s="8"/>
      <c r="J38" s="41"/>
    </row>
    <row r="39" spans="2:10">
      <c r="B39" s="13"/>
      <c r="C39" s="6" t="s">
        <v>90</v>
      </c>
      <c r="D39" s="8">
        <v>264597</v>
      </c>
      <c r="E39" s="8">
        <v>281117</v>
      </c>
      <c r="F39" s="8">
        <v>262692</v>
      </c>
      <c r="G39" s="8">
        <v>258290</v>
      </c>
      <c r="H39" s="8">
        <v>192014</v>
      </c>
      <c r="I39" s="8">
        <v>191892</v>
      </c>
      <c r="J39" s="41"/>
    </row>
    <row r="40" spans="2:10">
      <c r="B40" s="13"/>
      <c r="C40" s="6" t="s">
        <v>91</v>
      </c>
      <c r="D40" s="8">
        <v>315390</v>
      </c>
      <c r="E40" s="8">
        <v>328397</v>
      </c>
      <c r="F40" s="8">
        <v>299123</v>
      </c>
      <c r="G40" s="8">
        <v>303223</v>
      </c>
      <c r="H40" s="8">
        <v>244887</v>
      </c>
      <c r="I40" s="8">
        <v>256323</v>
      </c>
      <c r="J40" s="41"/>
    </row>
    <row r="41" spans="2:10">
      <c r="B41" s="13"/>
      <c r="C41" s="6" t="s">
        <v>92</v>
      </c>
      <c r="D41" s="8">
        <v>17048</v>
      </c>
      <c r="E41" s="44">
        <v>18808</v>
      </c>
      <c r="F41" s="186">
        <v>7654</v>
      </c>
      <c r="G41" s="186">
        <v>4455</v>
      </c>
      <c r="H41" s="186">
        <v>3250</v>
      </c>
      <c r="I41" s="186">
        <v>40174</v>
      </c>
      <c r="J41" s="378"/>
    </row>
    <row r="42" spans="2:10">
      <c r="B42" s="13"/>
      <c r="C42" s="26" t="s">
        <v>93</v>
      </c>
      <c r="D42" s="72">
        <v>2016774</v>
      </c>
      <c r="E42" s="72">
        <v>1777184</v>
      </c>
      <c r="F42" s="187">
        <v>1441620</v>
      </c>
      <c r="G42" s="187">
        <v>1230996</v>
      </c>
      <c r="H42" s="187">
        <v>952694</v>
      </c>
      <c r="I42" s="187">
        <v>961940</v>
      </c>
      <c r="J42" s="377"/>
    </row>
    <row r="43" spans="2:10" ht="7.5" customHeight="1">
      <c r="B43" s="13"/>
      <c r="D43" s="45"/>
      <c r="E43" s="45"/>
      <c r="F43" s="45"/>
      <c r="G43" s="45"/>
      <c r="H43" s="45"/>
      <c r="I43" s="45"/>
      <c r="J43" s="45"/>
    </row>
    <row r="44" spans="2:10">
      <c r="B44" s="13"/>
      <c r="C44" s="203" t="s">
        <v>94</v>
      </c>
      <c r="D44" s="62"/>
      <c r="E44" s="62"/>
      <c r="F44" s="62"/>
      <c r="G44" s="62"/>
      <c r="H44" s="62"/>
      <c r="I44" s="62"/>
      <c r="J44" s="41"/>
    </row>
    <row r="45" spans="2:10">
      <c r="B45" s="13"/>
      <c r="C45" s="231" t="s">
        <v>95</v>
      </c>
      <c r="D45" s="8"/>
      <c r="E45" s="8"/>
      <c r="F45" s="8"/>
      <c r="G45" s="8"/>
      <c r="H45" s="8"/>
      <c r="I45" s="8"/>
      <c r="J45" s="41"/>
    </row>
    <row r="46" spans="2:10" ht="30">
      <c r="C46" s="202" t="s">
        <v>96</v>
      </c>
      <c r="D46" s="60">
        <v>136420</v>
      </c>
      <c r="E46" s="60">
        <v>145968</v>
      </c>
      <c r="F46" s="8">
        <v>121887</v>
      </c>
      <c r="G46" s="8">
        <v>144982</v>
      </c>
      <c r="H46" s="8">
        <v>95201</v>
      </c>
      <c r="I46" s="60" t="s">
        <v>97</v>
      </c>
      <c r="J46" s="210"/>
    </row>
    <row r="47" spans="2:10">
      <c r="C47" s="201" t="s">
        <v>98</v>
      </c>
      <c r="D47" s="8">
        <v>508845</v>
      </c>
      <c r="E47" s="60">
        <v>426160</v>
      </c>
      <c r="F47" s="8">
        <v>239297</v>
      </c>
      <c r="G47" s="8">
        <v>118672</v>
      </c>
      <c r="H47" s="8">
        <v>114019</v>
      </c>
      <c r="I47" s="8">
        <v>85011</v>
      </c>
      <c r="J47" s="41"/>
    </row>
    <row r="48" spans="2:10">
      <c r="C48" s="202" t="s">
        <v>99</v>
      </c>
      <c r="D48" s="60">
        <v>26423</v>
      </c>
      <c r="E48" s="60">
        <v>26520</v>
      </c>
      <c r="F48" s="8">
        <v>32610</v>
      </c>
      <c r="G48" s="8">
        <v>28230</v>
      </c>
      <c r="H48" s="8">
        <v>77434</v>
      </c>
      <c r="I48" s="8">
        <v>42473</v>
      </c>
      <c r="J48" s="41"/>
    </row>
    <row r="49" spans="3:14">
      <c r="C49" s="129" t="s">
        <v>100</v>
      </c>
      <c r="D49" s="8">
        <v>18997</v>
      </c>
      <c r="E49" s="60">
        <v>14121</v>
      </c>
      <c r="F49" s="8">
        <v>8966</v>
      </c>
      <c r="G49" s="204" t="s">
        <v>101</v>
      </c>
      <c r="H49" s="8">
        <v>9629</v>
      </c>
      <c r="I49" s="8">
        <v>28427</v>
      </c>
      <c r="J49" s="41"/>
      <c r="L49" s="1" t="s">
        <v>80</v>
      </c>
    </row>
    <row r="50" spans="3:14">
      <c r="C50" s="29" t="s">
        <v>102</v>
      </c>
      <c r="D50" s="196">
        <v>741958</v>
      </c>
      <c r="E50" s="198">
        <v>678168</v>
      </c>
      <c r="F50" s="188">
        <v>446611</v>
      </c>
      <c r="G50" s="188">
        <v>351760</v>
      </c>
      <c r="H50" s="191">
        <v>321884</v>
      </c>
      <c r="I50" s="191">
        <v>293504</v>
      </c>
      <c r="J50" s="267"/>
    </row>
    <row r="51" spans="3:14">
      <c r="C51" s="17" t="s">
        <v>103</v>
      </c>
      <c r="D51" s="193" t="s">
        <v>104</v>
      </c>
      <c r="E51" s="199">
        <v>314098</v>
      </c>
      <c r="F51" s="189">
        <v>398735</v>
      </c>
      <c r="G51" s="189">
        <v>428507</v>
      </c>
      <c r="H51" s="192">
        <v>291249</v>
      </c>
      <c r="I51" s="192">
        <v>390627</v>
      </c>
      <c r="J51" s="379"/>
    </row>
    <row r="52" spans="3:14">
      <c r="C52" s="26" t="s">
        <v>105</v>
      </c>
      <c r="D52" s="196">
        <v>1190296</v>
      </c>
      <c r="E52" s="196">
        <v>1153331</v>
      </c>
      <c r="F52" s="190">
        <v>963821</v>
      </c>
      <c r="G52" s="188">
        <v>870769</v>
      </c>
      <c r="H52" s="191">
        <v>683965</v>
      </c>
      <c r="I52" s="191">
        <v>740729</v>
      </c>
      <c r="J52" s="267"/>
    </row>
    <row r="53" spans="3:14">
      <c r="C53" s="26" t="s">
        <v>106</v>
      </c>
      <c r="D53" s="197">
        <v>826478</v>
      </c>
      <c r="E53" s="200">
        <v>623853</v>
      </c>
      <c r="F53" s="194">
        <v>477799</v>
      </c>
      <c r="G53" s="194">
        <v>360227</v>
      </c>
      <c r="H53" s="195">
        <v>268729</v>
      </c>
      <c r="I53" s="195">
        <v>221211</v>
      </c>
      <c r="J53" s="267"/>
    </row>
    <row r="54" spans="3:14">
      <c r="C54" s="29" t="s">
        <v>107</v>
      </c>
      <c r="D54" s="196">
        <v>2016774</v>
      </c>
      <c r="E54" s="196">
        <v>1777184</v>
      </c>
      <c r="F54" s="190">
        <v>1441620</v>
      </c>
      <c r="G54" s="190">
        <v>1230996</v>
      </c>
      <c r="H54" s="191" t="s">
        <v>108</v>
      </c>
      <c r="I54" s="191">
        <v>961940</v>
      </c>
      <c r="J54" s="267"/>
      <c r="K54" s="230"/>
    </row>
    <row r="55" spans="3:14">
      <c r="F55" s="45"/>
      <c r="G55" s="45"/>
    </row>
    <row r="57" spans="3:14">
      <c r="C57" s="23" t="s">
        <v>109</v>
      </c>
      <c r="D57" s="23"/>
      <c r="E57" s="23"/>
      <c r="L57" s="404" t="s">
        <v>110</v>
      </c>
      <c r="M57" s="404"/>
    </row>
    <row r="58" spans="3:14">
      <c r="C58" s="2"/>
      <c r="D58" s="2"/>
      <c r="E58" s="2"/>
      <c r="L58" s="2"/>
    </row>
    <row r="59" spans="3:14" ht="57.75">
      <c r="C59" s="29" t="s">
        <v>53</v>
      </c>
      <c r="D59" s="79">
        <v>2024</v>
      </c>
      <c r="E59" s="148">
        <v>2023</v>
      </c>
      <c r="F59" s="149">
        <v>2022</v>
      </c>
      <c r="G59" s="154">
        <v>2021</v>
      </c>
      <c r="H59" s="169">
        <v>2020</v>
      </c>
      <c r="I59" s="169">
        <v>2019</v>
      </c>
      <c r="L59" s="29" t="s">
        <v>53</v>
      </c>
      <c r="M59" s="177" t="s">
        <v>56</v>
      </c>
      <c r="N59" s="177" t="s">
        <v>57</v>
      </c>
    </row>
    <row r="60" spans="3:14">
      <c r="C60" s="15"/>
      <c r="D60" s="12"/>
      <c r="E60" s="15"/>
      <c r="F60" s="121"/>
      <c r="G60" s="121"/>
      <c r="H60" s="121"/>
      <c r="I60" s="121"/>
      <c r="L60" s="15"/>
      <c r="M60" s="146"/>
      <c r="N60" s="159"/>
    </row>
    <row r="61" spans="3:14">
      <c r="C61" s="15" t="s">
        <v>111</v>
      </c>
      <c r="D61" s="144">
        <v>497104</v>
      </c>
      <c r="E61" s="145">
        <v>478584</v>
      </c>
      <c r="F61" s="146">
        <v>219116</v>
      </c>
      <c r="G61" s="146">
        <v>158932</v>
      </c>
      <c r="H61" s="146">
        <v>120911</v>
      </c>
      <c r="I61" s="146">
        <v>41093</v>
      </c>
      <c r="L61" s="15" t="s">
        <v>111</v>
      </c>
      <c r="M61" s="146">
        <v>253937</v>
      </c>
      <c r="N61" s="146">
        <v>322835</v>
      </c>
    </row>
    <row r="62" spans="3:14">
      <c r="C62" s="15" t="s">
        <v>112</v>
      </c>
      <c r="D62" s="144">
        <v>-185849</v>
      </c>
      <c r="E62" s="145">
        <v>-87752</v>
      </c>
      <c r="F62" s="147">
        <v>-89755</v>
      </c>
      <c r="G62" s="147">
        <v>-223449</v>
      </c>
      <c r="H62" s="147">
        <v>-30491</v>
      </c>
      <c r="I62" s="147">
        <v>-410386</v>
      </c>
      <c r="L62" s="15" t="s">
        <v>112</v>
      </c>
      <c r="M62" s="147">
        <v>-531065</v>
      </c>
      <c r="N62" s="147">
        <v>-62302</v>
      </c>
    </row>
    <row r="63" spans="3:14">
      <c r="C63" s="17" t="s">
        <v>113</v>
      </c>
      <c r="D63" s="19">
        <v>-80954</v>
      </c>
      <c r="E63" s="18">
        <v>-64379</v>
      </c>
      <c r="F63" s="122">
        <v>-60909</v>
      </c>
      <c r="G63" s="122">
        <v>-46651</v>
      </c>
      <c r="H63" s="122">
        <v>-32864</v>
      </c>
      <c r="I63" s="122">
        <v>-15397</v>
      </c>
      <c r="L63" s="17" t="s">
        <v>113</v>
      </c>
      <c r="M63" s="122">
        <v>-50923</v>
      </c>
      <c r="N63" s="122">
        <v>-65309</v>
      </c>
    </row>
    <row r="64" spans="3:14">
      <c r="C64" s="15" t="s">
        <v>114</v>
      </c>
      <c r="D64" s="144">
        <v>-118623</v>
      </c>
      <c r="E64" s="145">
        <v>-104534</v>
      </c>
      <c r="F64" s="147">
        <v>-32789</v>
      </c>
      <c r="G64" s="147">
        <v>80568</v>
      </c>
      <c r="H64" s="147">
        <v>-68340</v>
      </c>
      <c r="I64" s="147">
        <v>320931</v>
      </c>
      <c r="L64" s="15" t="s">
        <v>114</v>
      </c>
      <c r="M64" s="147">
        <v>-80672</v>
      </c>
      <c r="N64" s="147">
        <v>-83969</v>
      </c>
    </row>
    <row r="65" spans="3:14">
      <c r="C65" s="17" t="s">
        <v>115</v>
      </c>
      <c r="D65" s="19">
        <v>-26539</v>
      </c>
      <c r="E65" s="18">
        <v>-93491</v>
      </c>
      <c r="F65" s="122">
        <v>-23373</v>
      </c>
      <c r="G65" s="122">
        <v>-48273</v>
      </c>
      <c r="H65" s="122">
        <v>-77745</v>
      </c>
      <c r="I65" s="122">
        <v>-87621</v>
      </c>
      <c r="L65" s="17" t="s">
        <v>115</v>
      </c>
      <c r="M65" s="122">
        <v>-21067</v>
      </c>
      <c r="N65" s="122">
        <v>-19931</v>
      </c>
    </row>
    <row r="66" spans="3:14" ht="15" customHeight="1">
      <c r="C66" s="17" t="s">
        <v>116</v>
      </c>
      <c r="D66" s="221">
        <v>192632</v>
      </c>
      <c r="E66" s="222">
        <v>286298</v>
      </c>
      <c r="F66" s="223">
        <v>96572</v>
      </c>
      <c r="G66" s="223">
        <v>17000</v>
      </c>
      <c r="H66" s="223">
        <v>22080</v>
      </c>
      <c r="I66" s="223">
        <v>-48362</v>
      </c>
      <c r="L66" s="17" t="s">
        <v>116</v>
      </c>
      <c r="M66" s="122">
        <v>-357800</v>
      </c>
      <c r="N66" s="16">
        <v>176564</v>
      </c>
    </row>
    <row r="67" spans="3:14" ht="15" customHeight="1">
      <c r="C67" s="17" t="s">
        <v>117</v>
      </c>
      <c r="D67" s="221">
        <v>471563</v>
      </c>
      <c r="E67" s="222">
        <v>185265</v>
      </c>
      <c r="F67" s="223">
        <v>88693</v>
      </c>
      <c r="G67" s="223">
        <v>72642</v>
      </c>
      <c r="H67" s="223">
        <v>50562</v>
      </c>
      <c r="I67" s="223">
        <v>94095</v>
      </c>
      <c r="L67" s="17" t="s">
        <v>117</v>
      </c>
      <c r="M67" s="6">
        <v>664195</v>
      </c>
      <c r="N67" s="16">
        <v>471563</v>
      </c>
    </row>
    <row r="68" spans="3:14" ht="15" customHeight="1">
      <c r="C68" s="20" t="s">
        <v>118</v>
      </c>
      <c r="D68" s="233">
        <v>664195</v>
      </c>
      <c r="E68" s="224">
        <v>471563</v>
      </c>
      <c r="F68" s="225">
        <v>185265</v>
      </c>
      <c r="G68" s="225">
        <v>88693</v>
      </c>
      <c r="H68" s="225">
        <v>72642</v>
      </c>
      <c r="I68" s="225">
        <v>45733</v>
      </c>
      <c r="L68" s="20" t="s">
        <v>118</v>
      </c>
      <c r="M68" s="7">
        <v>306395</v>
      </c>
      <c r="N68" s="21">
        <v>648127</v>
      </c>
    </row>
    <row r="69" spans="3:14" ht="15" customHeight="1">
      <c r="C69" s="234" t="s">
        <v>119</v>
      </c>
      <c r="D69" s="233">
        <v>68410</v>
      </c>
      <c r="E69" s="235">
        <v>57403</v>
      </c>
      <c r="F69" s="233">
        <v>52066</v>
      </c>
      <c r="G69" s="233" t="s">
        <v>120</v>
      </c>
      <c r="H69" s="233">
        <v>32785</v>
      </c>
      <c r="I69" s="233">
        <v>20740</v>
      </c>
    </row>
    <row r="70" spans="3:14">
      <c r="D70" s="23"/>
      <c r="E70" s="23"/>
    </row>
    <row r="71" spans="3:14">
      <c r="C71" s="23" t="s">
        <v>121</v>
      </c>
      <c r="D71" s="23"/>
      <c r="E71" s="23"/>
    </row>
    <row r="72" spans="3:14">
      <c r="C72" s="23"/>
    </row>
    <row r="73" spans="3:14">
      <c r="C73" s="29" t="s">
        <v>53</v>
      </c>
      <c r="D73" s="79">
        <v>2024</v>
      </c>
      <c r="E73" s="148">
        <v>2023</v>
      </c>
      <c r="F73" s="149">
        <v>2022</v>
      </c>
      <c r="G73" s="154">
        <v>2021</v>
      </c>
      <c r="H73" s="169">
        <v>2020</v>
      </c>
    </row>
    <row r="74" spans="3:14">
      <c r="C74" s="17" t="s">
        <v>122</v>
      </c>
      <c r="D74" s="131">
        <v>30830</v>
      </c>
      <c r="E74" s="131">
        <v>30755</v>
      </c>
      <c r="F74" s="131">
        <v>30199</v>
      </c>
      <c r="G74" s="131">
        <v>28600</v>
      </c>
      <c r="H74" s="391">
        <v>27859</v>
      </c>
    </row>
    <row r="75" spans="3:14">
      <c r="C75" s="17" t="s">
        <v>123</v>
      </c>
      <c r="D75" s="131">
        <v>31146</v>
      </c>
      <c r="E75" s="131">
        <v>31208</v>
      </c>
      <c r="F75" s="131">
        <v>30564</v>
      </c>
      <c r="G75" s="131">
        <v>29101</v>
      </c>
      <c r="H75" s="391">
        <v>28195</v>
      </c>
    </row>
    <row r="76" spans="3:14">
      <c r="C76" s="15" t="s">
        <v>124</v>
      </c>
      <c r="D76" s="132"/>
      <c r="E76" s="132"/>
      <c r="F76" s="133"/>
      <c r="G76" s="134"/>
      <c r="H76" s="134"/>
    </row>
    <row r="77" spans="3:14">
      <c r="C77" s="17" t="s">
        <v>125</v>
      </c>
      <c r="D77" s="136">
        <v>177.51</v>
      </c>
      <c r="E77" s="137">
        <v>87.93</v>
      </c>
      <c r="F77" s="136">
        <v>32.799999999999997</v>
      </c>
      <c r="G77" s="135">
        <v>26.3</v>
      </c>
      <c r="H77" s="135">
        <v>18.61</v>
      </c>
    </row>
    <row r="78" spans="3:14">
      <c r="C78" s="15" t="s">
        <v>126</v>
      </c>
      <c r="D78" s="132"/>
      <c r="E78" s="132"/>
      <c r="F78" s="133"/>
      <c r="G78" s="134"/>
      <c r="H78" s="134"/>
    </row>
    <row r="79" spans="3:14">
      <c r="C79" s="17" t="s">
        <v>127</v>
      </c>
      <c r="D79" s="132"/>
      <c r="E79" s="138">
        <v>0.22</v>
      </c>
      <c r="F79" s="132"/>
      <c r="G79" s="130"/>
      <c r="H79" s="130"/>
    </row>
    <row r="80" spans="3:14" ht="15" customHeight="1">
      <c r="C80" s="20" t="s">
        <v>128</v>
      </c>
      <c r="D80" s="140"/>
      <c r="E80" s="141">
        <v>6.5000000000000002E-2</v>
      </c>
      <c r="F80" s="140"/>
      <c r="G80" s="139"/>
      <c r="H80" s="139"/>
    </row>
    <row r="83" spans="3:4" ht="15" customHeight="1">
      <c r="C83" s="143" t="s">
        <v>129</v>
      </c>
      <c r="D83" s="136">
        <v>377.84</v>
      </c>
    </row>
    <row r="84" spans="3:4" ht="15" customHeight="1">
      <c r="C84" s="143" t="s">
        <v>130</v>
      </c>
    </row>
  </sheetData>
  <mergeCells count="1">
    <mergeCell ref="L57:M57"/>
  </mergeCells>
  <pageMargins left="0.7" right="0.7" top="0.75" bottom="0.75" header="0.3" footer="0.3"/>
  <legacy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35B03A3-703F-4802-A58A-08205E916F91}">
  <sheetPr>
    <tabColor rgb="FFFFFF00"/>
  </sheetPr>
  <dimension ref="A1:K17"/>
  <sheetViews>
    <sheetView workbookViewId="0">
      <selection activeCell="G17" sqref="G17"/>
    </sheetView>
  </sheetViews>
  <sheetFormatPr defaultColWidth="8.85546875" defaultRowHeight="15"/>
  <cols>
    <col min="1" max="1" width="15.140625" customWidth="1"/>
    <col min="2" max="2" width="40.7109375" customWidth="1"/>
    <col min="3" max="3" width="15" customWidth="1"/>
    <col min="4" max="4" width="15.7109375" customWidth="1"/>
    <col min="5" max="5" width="17.42578125" customWidth="1"/>
    <col min="6" max="6" width="20.140625" customWidth="1"/>
    <col min="7" max="7" width="17.42578125" customWidth="1"/>
    <col min="8" max="8" width="144.5703125" customWidth="1"/>
    <col min="9" max="9" width="85.140625" hidden="1" customWidth="1"/>
  </cols>
  <sheetData>
    <row r="1" spans="1:11">
      <c r="A1" s="34" t="s">
        <v>131</v>
      </c>
      <c r="D1" s="71" t="s">
        <v>132</v>
      </c>
      <c r="E1" s="1"/>
      <c r="F1" s="1"/>
      <c r="G1" s="1"/>
      <c r="H1" s="1"/>
      <c r="I1" s="1"/>
      <c r="J1" s="1"/>
      <c r="K1" s="1"/>
    </row>
    <row r="2" spans="1:11">
      <c r="A2" s="1"/>
      <c r="B2" s="1"/>
      <c r="C2" s="1"/>
      <c r="D2" s="1"/>
      <c r="E2" s="1"/>
      <c r="F2" s="1"/>
      <c r="G2" s="1"/>
      <c r="H2" s="1"/>
      <c r="I2" s="1"/>
      <c r="J2" s="1"/>
      <c r="K2" s="1"/>
    </row>
    <row r="3" spans="1:11">
      <c r="A3" s="407" t="s">
        <v>133</v>
      </c>
      <c r="B3" s="407"/>
      <c r="C3" s="407"/>
      <c r="D3" s="407"/>
      <c r="E3" s="407"/>
      <c r="F3" s="407"/>
      <c r="G3" s="407"/>
      <c r="H3" s="407"/>
      <c r="I3" s="407"/>
      <c r="J3" s="1"/>
      <c r="K3" s="1"/>
    </row>
    <row r="4" spans="1:11">
      <c r="A4" s="1"/>
      <c r="B4" s="1"/>
      <c r="C4" s="1"/>
      <c r="D4" s="1"/>
      <c r="E4" s="1"/>
      <c r="F4" s="1"/>
      <c r="G4" s="1"/>
      <c r="H4" s="1"/>
      <c r="I4" s="1"/>
      <c r="J4" s="1"/>
      <c r="K4" s="1"/>
    </row>
    <row r="5" spans="1:11">
      <c r="A5" s="26" t="s">
        <v>134</v>
      </c>
      <c r="B5" s="110" t="s">
        <v>135</v>
      </c>
      <c r="C5" s="240">
        <v>2024</v>
      </c>
      <c r="D5" s="239">
        <v>2023</v>
      </c>
      <c r="E5" s="83">
        <v>2022</v>
      </c>
      <c r="F5" s="80">
        <v>2021</v>
      </c>
      <c r="G5" s="176">
        <v>2020</v>
      </c>
      <c r="H5" s="405" t="s">
        <v>136</v>
      </c>
      <c r="I5" s="406"/>
      <c r="J5" s="2"/>
      <c r="K5" s="1"/>
    </row>
    <row r="6" spans="1:11">
      <c r="A6" s="17" t="s">
        <v>137</v>
      </c>
      <c r="B6" s="14"/>
      <c r="C6" s="1"/>
      <c r="D6" s="5"/>
      <c r="E6" s="13"/>
      <c r="F6" s="170"/>
      <c r="G6" s="13"/>
      <c r="H6" s="408"/>
      <c r="I6" s="409"/>
      <c r="J6" s="1"/>
      <c r="K6" s="1"/>
    </row>
    <row r="7" spans="1:11" ht="19.5" customHeight="1">
      <c r="A7" s="17" t="s">
        <v>40</v>
      </c>
      <c r="B7" s="6" t="s">
        <v>138</v>
      </c>
      <c r="C7" s="89">
        <f>'Data Input Financial Statements'!D36/'Data Input Financial Statements'!D50</f>
        <v>1.377274724445319</v>
      </c>
      <c r="D7" s="40">
        <f>'Data Input Financial Statements'!E36/'Data Input Financial Statements'!E50</f>
        <v>1.2503966568755824</v>
      </c>
      <c r="E7" s="46">
        <f>'Data Input Financial Statements'!F36/'Data Input Financial Statements'!F50</f>
        <v>1.3373024847126471</v>
      </c>
      <c r="F7" s="40">
        <f>'Data Input Financial Statements'!G36/'Data Input Financial Statements'!G50</f>
        <v>1.2357601773936775</v>
      </c>
      <c r="G7" s="46">
        <f>'Data Input Financial Statements'!H36/'Data Input Financial Statements'!H50</f>
        <v>1.1232089821177815</v>
      </c>
      <c r="H7" s="502" t="s">
        <v>139</v>
      </c>
      <c r="I7" s="503"/>
      <c r="J7" s="1"/>
      <c r="K7" s="1"/>
    </row>
    <row r="8" spans="1:11" ht="15.75" customHeight="1">
      <c r="A8" s="17" t="s">
        <v>140</v>
      </c>
      <c r="B8" s="6" t="s">
        <v>141</v>
      </c>
      <c r="C8" s="89">
        <f>(('Data Input Financial Statements'!D31+'Data Input Financial Statements'!D32))/'Data Input Financial Statements'!D50</f>
        <v>1.2280951212871887</v>
      </c>
      <c r="D8" s="40">
        <f>(('Data Input Financial Statements'!E31+'Data Input Financial Statements'!E32))/'Data Input Financial Statements'!E50</f>
        <v>1.0675791249365938</v>
      </c>
      <c r="E8" s="46">
        <f>(('Data Input Financial Statements'!F31+'Data Input Financial Statements'!F32))/'Data Input Financial Statements'!F50</f>
        <v>0.99457917516586025</v>
      </c>
      <c r="F8" s="46">
        <f>(('Data Input Financial Statements'!G31+'Data Input Financial Statements'!G32))/'Data Input Financial Statements'!G50</f>
        <v>0.89263418239708892</v>
      </c>
      <c r="G8" s="46">
        <f>(('Data Input Financial Statements'!H31+'Data Input Financial Statements'!H32))/'Data Input Financial Statements'!H50</f>
        <v>0.75682233351145134</v>
      </c>
      <c r="H8" s="502" t="s">
        <v>142</v>
      </c>
      <c r="I8" s="503"/>
      <c r="J8" s="1"/>
      <c r="K8" s="1"/>
    </row>
    <row r="9" spans="1:11">
      <c r="A9" s="17" t="s">
        <v>143</v>
      </c>
      <c r="B9" s="6" t="s">
        <v>144</v>
      </c>
      <c r="C9" s="89">
        <f>'Data Input Financial Statements'!D31/'Data Input Financial Statements'!D50</f>
        <v>0.89519218068947304</v>
      </c>
      <c r="D9" s="40">
        <f>'Data Input Financial Statements'!E31/'Data Input Financial Statements'!E50</f>
        <v>0.69534835026129216</v>
      </c>
      <c r="E9" s="46">
        <f>'Data Input Financial Statements'!F31/'Data Input Financial Statements'!F50</f>
        <v>0.40649245092485409</v>
      </c>
      <c r="F9" s="46">
        <f>'Data Input Financial Statements'!G31/'Data Input Financial Statements'!G50</f>
        <v>0.2326586308846941</v>
      </c>
      <c r="G9" s="46">
        <f>'Data Input Financial Statements'!H31/'Data Input Financial Statements'!H50</f>
        <v>0.20561755166457482</v>
      </c>
      <c r="H9" s="502" t="s">
        <v>145</v>
      </c>
      <c r="I9" s="503"/>
      <c r="J9" s="1"/>
      <c r="K9" s="1"/>
    </row>
    <row r="10" spans="1:11">
      <c r="A10" s="20"/>
      <c r="B10" s="7"/>
      <c r="C10" s="28"/>
      <c r="D10" s="11"/>
      <c r="E10" s="56"/>
      <c r="F10" s="11"/>
      <c r="G10" s="56"/>
      <c r="H10" s="504"/>
      <c r="I10" s="505"/>
      <c r="J10" s="1"/>
      <c r="K10" s="1"/>
    </row>
    <row r="11" spans="1:11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</row>
    <row r="12" spans="1:11">
      <c r="A12" s="1"/>
      <c r="B12" s="1"/>
      <c r="C12" s="1"/>
      <c r="D12" s="1"/>
      <c r="E12" s="1"/>
      <c r="F12" s="1"/>
      <c r="G12" s="1"/>
      <c r="H12" s="2" t="s">
        <v>146</v>
      </c>
      <c r="I12" s="1"/>
      <c r="J12" s="1"/>
      <c r="K12" s="1"/>
    </row>
    <row r="13" spans="1:11">
      <c r="A13" s="1"/>
      <c r="B13" s="1"/>
      <c r="C13" s="1"/>
      <c r="D13" s="1"/>
      <c r="E13" s="1"/>
      <c r="F13" s="1"/>
      <c r="G13" s="1"/>
      <c r="H13" t="s">
        <v>147</v>
      </c>
      <c r="I13" s="1"/>
      <c r="J13" s="1"/>
      <c r="K13" s="1"/>
    </row>
    <row r="14" spans="1:11">
      <c r="A14" s="1"/>
      <c r="B14" s="1"/>
      <c r="C14" s="1"/>
      <c r="D14" s="1"/>
      <c r="E14" s="1"/>
      <c r="F14" s="1"/>
      <c r="G14" s="1"/>
      <c r="H14" s="206" t="s">
        <v>148</v>
      </c>
      <c r="I14" s="1"/>
      <c r="J14" s="1"/>
      <c r="K14" s="1"/>
    </row>
    <row r="15" spans="1:11">
      <c r="A15" s="1"/>
      <c r="B15" s="1"/>
      <c r="C15" s="1"/>
      <c r="D15" s="41"/>
      <c r="E15" s="1"/>
      <c r="F15" s="1"/>
      <c r="G15" s="1"/>
      <c r="H15" s="205" t="s">
        <v>149</v>
      </c>
      <c r="I15" s="1"/>
      <c r="J15" s="1"/>
      <c r="K15" s="1"/>
    </row>
    <row r="16" spans="1:11">
      <c r="A16" s="1"/>
      <c r="B16" s="1"/>
      <c r="C16" s="1"/>
      <c r="D16" s="1"/>
      <c r="E16" s="1"/>
      <c r="F16" s="1"/>
      <c r="G16" s="1"/>
      <c r="H16" s="93"/>
      <c r="I16" s="1"/>
      <c r="J16" s="1"/>
      <c r="K16" s="1"/>
    </row>
    <row r="17" spans="1:11">
      <c r="A17" s="1"/>
      <c r="B17" s="1"/>
      <c r="C17" s="1"/>
      <c r="D17" s="42"/>
      <c r="E17" s="1"/>
      <c r="F17" s="1"/>
      <c r="G17" s="1"/>
      <c r="H17" s="1"/>
      <c r="I17" s="1"/>
      <c r="J17" s="1"/>
      <c r="K17" s="1"/>
    </row>
  </sheetData>
  <mergeCells count="7">
    <mergeCell ref="H10:I10"/>
    <mergeCell ref="H5:I5"/>
    <mergeCell ref="A3:I3"/>
    <mergeCell ref="H6:I6"/>
    <mergeCell ref="H7:I7"/>
    <mergeCell ref="H8:I8"/>
    <mergeCell ref="H9:I9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7AC7EFB-1410-43A5-8ADF-2F3F6A7896A3}">
  <sheetPr>
    <tabColor rgb="FFFFF700"/>
  </sheetPr>
  <dimension ref="A1:K37"/>
  <sheetViews>
    <sheetView workbookViewId="0">
      <selection activeCell="A30" sqref="A30:D37"/>
    </sheetView>
  </sheetViews>
  <sheetFormatPr defaultColWidth="8.85546875" defaultRowHeight="15"/>
  <cols>
    <col min="1" max="1" width="24.42578125" customWidth="1"/>
    <col min="2" max="2" width="19.7109375" customWidth="1"/>
    <col min="3" max="3" width="24.42578125" customWidth="1"/>
    <col min="4" max="4" width="18.85546875" customWidth="1"/>
    <col min="5" max="7" width="19.28515625" customWidth="1"/>
    <col min="8" max="8" width="99.42578125" customWidth="1"/>
    <col min="9" max="9" width="70.140625" customWidth="1"/>
    <col min="10" max="10" width="64.28515625" customWidth="1"/>
  </cols>
  <sheetData>
    <row r="1" spans="1:11">
      <c r="A1" s="34" t="s">
        <v>150</v>
      </c>
      <c r="B1" s="1"/>
      <c r="C1" s="501"/>
      <c r="D1" s="501"/>
      <c r="E1" s="1"/>
      <c r="F1" s="71" t="s">
        <v>132</v>
      </c>
      <c r="G1" s="1"/>
      <c r="H1" s="1"/>
      <c r="I1" s="1"/>
      <c r="J1" s="1"/>
    </row>
    <row r="2" spans="1:11">
      <c r="A2" s="1"/>
      <c r="B2" s="1"/>
      <c r="C2" s="407"/>
      <c r="D2" s="407"/>
      <c r="E2" s="1"/>
      <c r="F2" s="1"/>
      <c r="G2" s="1"/>
      <c r="H2" s="1"/>
      <c r="I2" s="1"/>
      <c r="J2" s="1"/>
    </row>
    <row r="3" spans="1:11">
      <c r="A3" s="25" t="s">
        <v>151</v>
      </c>
      <c r="B3" s="25"/>
      <c r="E3" s="25"/>
      <c r="F3" s="25"/>
      <c r="G3" s="25"/>
      <c r="H3" s="25"/>
      <c r="I3" s="25"/>
      <c r="J3" s="25"/>
      <c r="K3" s="24"/>
    </row>
    <row r="4" spans="1:11">
      <c r="A4" s="25"/>
      <c r="B4" s="25"/>
      <c r="E4" s="25"/>
      <c r="F4" s="25"/>
      <c r="G4" s="25"/>
      <c r="H4" s="25"/>
      <c r="I4" s="25"/>
      <c r="J4" s="25"/>
      <c r="K4" s="24"/>
    </row>
    <row r="6" spans="1:11">
      <c r="E6" s="71" t="s">
        <v>152</v>
      </c>
      <c r="G6" s="94"/>
      <c r="H6" s="94"/>
    </row>
    <row r="7" spans="1:11">
      <c r="B7" s="27" t="s">
        <v>134</v>
      </c>
      <c r="C7" s="410" t="s">
        <v>135</v>
      </c>
      <c r="D7" s="411">
        <v>2023</v>
      </c>
      <c r="E7" s="85">
        <v>2025</v>
      </c>
      <c r="F7" s="421" t="s">
        <v>153</v>
      </c>
      <c r="G7" s="422"/>
      <c r="H7" s="423"/>
    </row>
    <row r="8" spans="1:11" ht="29.25" customHeight="1">
      <c r="B8" s="14" t="s">
        <v>41</v>
      </c>
      <c r="C8" s="506" t="s">
        <v>154</v>
      </c>
      <c r="D8" s="507"/>
      <c r="E8" s="98">
        <f>1477272/1084995</f>
        <v>1.3615472882363513</v>
      </c>
      <c r="F8" s="418" t="s">
        <v>155</v>
      </c>
      <c r="G8" s="419"/>
      <c r="H8" s="420"/>
    </row>
    <row r="9" spans="1:11">
      <c r="B9" s="6" t="s">
        <v>156</v>
      </c>
      <c r="C9" s="501" t="s">
        <v>157</v>
      </c>
      <c r="D9" s="501"/>
      <c r="E9" s="95">
        <f>1477272/2562267</f>
        <v>0.57654881399947777</v>
      </c>
      <c r="F9" s="424"/>
      <c r="G9" s="425"/>
      <c r="H9" s="426"/>
    </row>
    <row r="10" spans="1:11">
      <c r="B10" s="7" t="s">
        <v>158</v>
      </c>
      <c r="C10" s="508" t="s">
        <v>159</v>
      </c>
      <c r="D10" s="508"/>
      <c r="E10" s="99">
        <f>1084995/2562267</f>
        <v>0.42345118600052217</v>
      </c>
      <c r="F10" s="427"/>
      <c r="G10" s="428"/>
      <c r="H10" s="429"/>
    </row>
    <row r="11" spans="1:11">
      <c r="A11" s="1"/>
      <c r="B11" s="1"/>
      <c r="C11" s="501"/>
      <c r="D11" s="501"/>
      <c r="E11" s="1"/>
      <c r="F11" s="1"/>
      <c r="G11" s="1"/>
      <c r="H11" s="1"/>
      <c r="I11" s="1"/>
      <c r="J11" s="1"/>
    </row>
    <row r="12" spans="1:11">
      <c r="A12" s="1"/>
      <c r="B12" s="33" t="s">
        <v>134</v>
      </c>
      <c r="C12" s="410" t="s">
        <v>135</v>
      </c>
      <c r="D12" s="411">
        <v>2023</v>
      </c>
      <c r="E12" s="84">
        <v>2024</v>
      </c>
      <c r="F12" s="83">
        <v>2023</v>
      </c>
      <c r="G12" s="82">
        <v>2022</v>
      </c>
      <c r="H12" s="412" t="s">
        <v>160</v>
      </c>
      <c r="I12" s="413"/>
      <c r="J12" s="1"/>
    </row>
    <row r="13" spans="1:11">
      <c r="A13" s="1"/>
      <c r="B13" s="14" t="s">
        <v>41</v>
      </c>
      <c r="C13" s="506" t="s">
        <v>154</v>
      </c>
      <c r="D13" s="507"/>
      <c r="E13" s="88">
        <f>'Data Input Financial Statements'!D52/'Data Input Financial Statements'!D53</f>
        <v>1.4402028850132731</v>
      </c>
      <c r="F13" s="89">
        <f>'Data Input Financial Statements'!E52/'Data Input Financial Statements'!E53</f>
        <v>1.8487223753031563</v>
      </c>
      <c r="G13" s="49">
        <f>'Data Input Financial Statements'!F52/'Data Input Financial Statements'!F53</f>
        <v>2.0172101657810084</v>
      </c>
      <c r="H13" s="414" t="s">
        <v>161</v>
      </c>
      <c r="I13" s="415"/>
      <c r="J13" s="1"/>
    </row>
    <row r="14" spans="1:11">
      <c r="A14" s="1"/>
      <c r="B14" s="6" t="s">
        <v>156</v>
      </c>
      <c r="C14" s="501" t="s">
        <v>157</v>
      </c>
      <c r="D14" s="501"/>
      <c r="E14" s="96">
        <f>'Data Input Financial Statements'!D52/'Data Input Financial Statements'!D42</f>
        <v>0.59019800929603417</v>
      </c>
      <c r="F14" s="89">
        <f>'Data Input Financial Statements'!E52/'Data Input Financial Statements'!E42</f>
        <v>0.64896544195761385</v>
      </c>
      <c r="G14" s="49">
        <f>'Data Input Financial Statements'!F52/'Data Input Financial Statements'!F42</f>
        <v>0.66856799988901372</v>
      </c>
      <c r="H14" s="414" t="s">
        <v>162</v>
      </c>
      <c r="I14" s="415"/>
      <c r="J14" s="1"/>
    </row>
    <row r="15" spans="1:11">
      <c r="A15" s="1"/>
      <c r="B15" s="7" t="s">
        <v>158</v>
      </c>
      <c r="C15" s="508" t="s">
        <v>159</v>
      </c>
      <c r="D15" s="508"/>
      <c r="E15" s="97">
        <f>'Data Input Financial Statements'!D53/'Data Input Financial Statements'!D42</f>
        <v>0.40980199070396583</v>
      </c>
      <c r="F15" s="90">
        <f>'Data Input Financial Statements'!E53/'Data Input Financial Statements'!E42</f>
        <v>0.35103455804238615</v>
      </c>
      <c r="G15" s="47">
        <f>'Data Input Financial Statements'!F53/'Data Input Financial Statements'!F42</f>
        <v>0.33143200011098622</v>
      </c>
      <c r="H15" s="416" t="s">
        <v>163</v>
      </c>
      <c r="I15" s="417"/>
      <c r="J15" s="1"/>
    </row>
    <row r="16" spans="1:11">
      <c r="A16" s="1"/>
      <c r="B16" s="1"/>
      <c r="C16" s="1"/>
      <c r="D16" s="1"/>
      <c r="E16" s="1"/>
      <c r="F16" s="1"/>
      <c r="G16" s="1"/>
      <c r="H16" s="1"/>
      <c r="I16" s="25"/>
      <c r="J16" s="1"/>
    </row>
    <row r="17" spans="1:10">
      <c r="A17" s="1"/>
      <c r="B17" s="1"/>
      <c r="C17" s="1"/>
      <c r="D17" s="1"/>
      <c r="E17" s="1"/>
      <c r="F17" s="1"/>
      <c r="G17" s="1"/>
      <c r="I17" s="25"/>
      <c r="J17" s="1"/>
    </row>
    <row r="18" spans="1:10">
      <c r="A18" s="1"/>
      <c r="B18" s="1" t="s">
        <v>164</v>
      </c>
      <c r="C18" s="1" t="s">
        <v>165</v>
      </c>
      <c r="D18" s="1"/>
      <c r="E18" s="1"/>
      <c r="F18" s="1"/>
      <c r="G18" s="1" t="s">
        <v>137</v>
      </c>
      <c r="H18" s="1"/>
      <c r="I18" s="25"/>
      <c r="J18" s="1"/>
    </row>
    <row r="19" spans="1:10">
      <c r="A19" s="1"/>
      <c r="B19" s="1"/>
      <c r="C19" s="1"/>
      <c r="D19" s="1"/>
      <c r="E19" s="1"/>
      <c r="F19" s="1"/>
      <c r="G19" s="1"/>
      <c r="H19" s="1"/>
      <c r="I19" s="1"/>
      <c r="J19" s="1"/>
    </row>
    <row r="20" spans="1:10">
      <c r="A20" s="1"/>
      <c r="B20" s="1"/>
      <c r="F20" s="1"/>
      <c r="G20" s="1"/>
      <c r="H20" s="1"/>
      <c r="I20" s="1"/>
      <c r="J20" s="1"/>
    </row>
    <row r="21" spans="1:10">
      <c r="A21" s="1"/>
      <c r="B21" s="1"/>
      <c r="C21" s="1"/>
      <c r="D21" s="1"/>
      <c r="E21" s="1"/>
      <c r="F21" s="1"/>
      <c r="G21" s="1"/>
      <c r="H21" s="1"/>
      <c r="I21" s="1"/>
    </row>
    <row r="22" spans="1:10">
      <c r="A22" s="1"/>
      <c r="B22" s="33" t="s">
        <v>134</v>
      </c>
      <c r="C22" s="410" t="s">
        <v>135</v>
      </c>
      <c r="D22" s="411">
        <v>2023</v>
      </c>
      <c r="E22" s="84">
        <v>2021</v>
      </c>
      <c r="F22" s="84">
        <v>2020</v>
      </c>
      <c r="G22" s="80">
        <v>2019</v>
      </c>
      <c r="I22" s="1"/>
    </row>
    <row r="23" spans="1:10">
      <c r="A23" s="1"/>
      <c r="B23" s="14" t="s">
        <v>41</v>
      </c>
      <c r="C23" s="506" t="s">
        <v>154</v>
      </c>
      <c r="D23" s="507"/>
      <c r="E23" s="88">
        <f>'Data Input Financial Statements'!G52/'Data Input Financial Statements'!G53</f>
        <v>2.4172785493591542</v>
      </c>
      <c r="F23" s="88">
        <f>'Data Input Financial Statements'!H52/'Data Input Financial Statements'!H53</f>
        <v>2.5451849260779449</v>
      </c>
      <c r="G23" s="88">
        <f>'Data Input Financial Statements'!I52/'Data Input Financial Statements'!I53</f>
        <v>3.3485179308443072</v>
      </c>
      <c r="H23" s="1"/>
      <c r="I23" s="1"/>
    </row>
    <row r="24" spans="1:10">
      <c r="A24" s="1"/>
      <c r="B24" s="6" t="s">
        <v>156</v>
      </c>
      <c r="C24" s="501" t="s">
        <v>157</v>
      </c>
      <c r="D24" s="501"/>
      <c r="E24" s="96">
        <f>'Data Input Financial Statements'!G52/'Data Input Financial Statements'!G42</f>
        <v>0.70736947967337016</v>
      </c>
      <c r="F24" s="96">
        <f>'Data Input Financial Statements'!H52/'Data Input Financial Statements'!H42</f>
        <v>0.71792726730723611</v>
      </c>
      <c r="G24" s="96">
        <f>'Data Input Financial Statements'!I52/'Data Input Financial Statements'!I42</f>
        <v>0.77003659271888059</v>
      </c>
      <c r="I24" s="1"/>
    </row>
    <row r="25" spans="1:10">
      <c r="A25" s="1"/>
      <c r="B25" s="7" t="s">
        <v>158</v>
      </c>
      <c r="C25" s="508" t="s">
        <v>159</v>
      </c>
      <c r="D25" s="508"/>
      <c r="E25" s="97">
        <f>'Data Input Financial Statements'!G53/'Data Input Financial Statements'!G42</f>
        <v>0.29263052032662984</v>
      </c>
      <c r="F25" s="97">
        <f>'Data Input Financial Statements'!H53/'Data Input Financial Statements'!H42</f>
        <v>0.28207273269276389</v>
      </c>
      <c r="G25" s="97">
        <f>'Data Input Financial Statements'!I53/'Data Input Financial Statements'!I42</f>
        <v>0.22996340728111941</v>
      </c>
      <c r="H25" s="1"/>
      <c r="I25" s="1"/>
    </row>
    <row r="26" spans="1:10">
      <c r="A26" s="1"/>
      <c r="B26" s="1"/>
      <c r="C26" s="1"/>
      <c r="D26" s="1"/>
      <c r="E26" s="1"/>
      <c r="F26" s="1"/>
      <c r="G26" s="1"/>
      <c r="I26" s="1"/>
    </row>
    <row r="29" spans="1:10">
      <c r="G29" s="1"/>
      <c r="H29" s="1"/>
    </row>
    <row r="30" spans="1:10">
      <c r="A30" s="4" t="s">
        <v>166</v>
      </c>
      <c r="B30" s="4" t="s">
        <v>41</v>
      </c>
      <c r="C30" s="4" t="s">
        <v>167</v>
      </c>
      <c r="D30" s="4" t="s">
        <v>168</v>
      </c>
      <c r="G30" s="1"/>
      <c r="H30" s="1"/>
    </row>
    <row r="31" spans="1:10">
      <c r="A31" s="392">
        <v>2019</v>
      </c>
      <c r="B31" s="393">
        <v>3.35</v>
      </c>
      <c r="C31" s="393">
        <v>0.77</v>
      </c>
      <c r="D31" s="393">
        <v>0.23</v>
      </c>
      <c r="G31" s="1"/>
      <c r="H31" s="1"/>
    </row>
    <row r="32" spans="1:10">
      <c r="A32" s="392">
        <v>2020</v>
      </c>
      <c r="B32" s="393">
        <v>2.5499999999999998</v>
      </c>
      <c r="C32" s="393">
        <v>0.72</v>
      </c>
      <c r="D32" s="393">
        <v>0.28000000000000003</v>
      </c>
      <c r="G32" s="1"/>
      <c r="H32" s="1"/>
    </row>
    <row r="33" spans="1:4">
      <c r="A33" s="392">
        <v>2021</v>
      </c>
      <c r="B33" s="393">
        <v>2.42</v>
      </c>
      <c r="C33" s="393">
        <v>0.71</v>
      </c>
      <c r="D33" s="393">
        <v>0.28999999999999998</v>
      </c>
    </row>
    <row r="34" spans="1:4">
      <c r="A34" s="392">
        <v>2022</v>
      </c>
      <c r="B34" s="393">
        <v>2.02</v>
      </c>
      <c r="C34" s="393">
        <v>0.67</v>
      </c>
      <c r="D34" s="393">
        <v>0.33</v>
      </c>
    </row>
    <row r="35" spans="1:4">
      <c r="A35" s="392">
        <v>2023</v>
      </c>
      <c r="B35" s="393">
        <v>1.85</v>
      </c>
      <c r="C35" s="393">
        <v>0.65</v>
      </c>
      <c r="D35" s="393">
        <v>0.35</v>
      </c>
    </row>
    <row r="36" spans="1:4">
      <c r="A36" s="392">
        <v>2024</v>
      </c>
      <c r="B36" s="393">
        <v>1.44</v>
      </c>
      <c r="C36" s="393">
        <v>0.59</v>
      </c>
      <c r="D36" s="393">
        <v>0.41</v>
      </c>
    </row>
    <row r="37" spans="1:4">
      <c r="A37" s="392">
        <v>2025</v>
      </c>
      <c r="B37" s="393">
        <v>1.36</v>
      </c>
      <c r="C37" s="393">
        <v>0.57999999999999996</v>
      </c>
      <c r="D37" s="393">
        <v>0.42</v>
      </c>
    </row>
  </sheetData>
  <mergeCells count="23">
    <mergeCell ref="F8:H8"/>
    <mergeCell ref="F7:H7"/>
    <mergeCell ref="F9:H9"/>
    <mergeCell ref="F10:H10"/>
    <mergeCell ref="C13:D13"/>
    <mergeCell ref="C25:D25"/>
    <mergeCell ref="H12:I12"/>
    <mergeCell ref="H13:I13"/>
    <mergeCell ref="H14:I14"/>
    <mergeCell ref="H15:I15"/>
    <mergeCell ref="C14:D14"/>
    <mergeCell ref="C15:D15"/>
    <mergeCell ref="C1:D1"/>
    <mergeCell ref="C2:D2"/>
    <mergeCell ref="C11:D11"/>
    <mergeCell ref="C23:D23"/>
    <mergeCell ref="C24:D24"/>
    <mergeCell ref="C12:D12"/>
    <mergeCell ref="C22:D22"/>
    <mergeCell ref="C7:D7"/>
    <mergeCell ref="C8:D8"/>
    <mergeCell ref="C9:D9"/>
    <mergeCell ref="C10:D10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CF7EE9A-8964-44B1-9DC0-E095336DE1A9}">
  <sheetPr>
    <tabColor rgb="FFFFFF00"/>
  </sheetPr>
  <dimension ref="A1:F16"/>
  <sheetViews>
    <sheetView workbookViewId="0">
      <selection activeCell="H9" sqref="H9"/>
    </sheetView>
  </sheetViews>
  <sheetFormatPr defaultRowHeight="15"/>
  <cols>
    <col min="1" max="1" width="54.140625" customWidth="1"/>
    <col min="2" max="2" width="23.5703125" customWidth="1"/>
    <col min="3" max="3" width="18.7109375" customWidth="1"/>
    <col min="4" max="4" width="17.5703125" customWidth="1"/>
    <col min="5" max="5" width="16.85546875" customWidth="1"/>
    <col min="6" max="6" width="20.42578125" customWidth="1"/>
  </cols>
  <sheetData>
    <row r="1" spans="1:6" ht="28.5">
      <c r="A1" s="243" t="s">
        <v>169</v>
      </c>
    </row>
    <row r="3" spans="1:6">
      <c r="A3" s="252" t="s">
        <v>170</v>
      </c>
      <c r="B3" s="247">
        <v>2024</v>
      </c>
      <c r="C3" s="244">
        <v>2023</v>
      </c>
      <c r="D3" s="248">
        <v>2022</v>
      </c>
      <c r="E3" s="249">
        <v>2021</v>
      </c>
      <c r="F3" s="215">
        <v>2020</v>
      </c>
    </row>
    <row r="4" spans="1:6">
      <c r="A4" s="15"/>
      <c r="B4" s="15"/>
      <c r="C4" s="15"/>
      <c r="D4" s="15"/>
      <c r="E4" s="15"/>
      <c r="F4" s="12"/>
    </row>
    <row r="5" spans="1:6">
      <c r="A5" s="241" t="s">
        <v>171</v>
      </c>
      <c r="B5" s="245">
        <v>264622</v>
      </c>
      <c r="C5" s="245">
        <v>205795</v>
      </c>
      <c r="D5" s="245">
        <v>159870</v>
      </c>
      <c r="E5" s="245">
        <v>107011</v>
      </c>
      <c r="F5" s="201">
        <v>92615</v>
      </c>
    </row>
    <row r="6" spans="1:6">
      <c r="A6" s="242" t="s">
        <v>172</v>
      </c>
      <c r="B6" s="238">
        <v>68410</v>
      </c>
      <c r="C6" s="238">
        <v>57403</v>
      </c>
      <c r="D6" s="238">
        <v>52066</v>
      </c>
      <c r="E6" s="238" t="s">
        <v>120</v>
      </c>
      <c r="F6" s="246">
        <v>32785</v>
      </c>
    </row>
    <row r="7" spans="1:6">
      <c r="A7" s="250" t="s">
        <v>173</v>
      </c>
      <c r="B7" s="237">
        <f>SUM(B5:B6)</f>
        <v>333032</v>
      </c>
      <c r="C7" s="237">
        <f>SUM(C5:C6)</f>
        <v>263198</v>
      </c>
      <c r="D7" s="237">
        <f>SUM(D5:D6)</f>
        <v>211936</v>
      </c>
      <c r="E7" s="237">
        <v>141212</v>
      </c>
      <c r="F7" s="236">
        <f>SUM(F5:F6)</f>
        <v>125400</v>
      </c>
    </row>
    <row r="8" spans="1:6">
      <c r="B8" s="509"/>
      <c r="C8" s="509"/>
      <c r="D8" s="509"/>
      <c r="E8" s="509"/>
      <c r="F8" s="509"/>
    </row>
    <row r="9" spans="1:6">
      <c r="B9" s="303"/>
      <c r="C9" s="331"/>
      <c r="D9" s="331"/>
      <c r="E9" s="331"/>
      <c r="F9" s="303"/>
    </row>
    <row r="16" spans="1:6">
      <c r="A16" s="251"/>
    </row>
  </sheetData>
  <mergeCells count="1">
    <mergeCell ref="B8:F8"/>
  </mergeCells>
  <pageMargins left="0.7" right="0.7" top="0.75" bottom="0.75" header="0.3" footer="0.3"/>
  <drawing r:id="rId1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F2A8B19-6AD1-470A-B85E-5C92144B84A3}">
  <sheetPr>
    <tabColor rgb="FFFFFF00"/>
  </sheetPr>
  <dimension ref="A1:L97"/>
  <sheetViews>
    <sheetView tabSelected="1" workbookViewId="0">
      <selection activeCell="L10" sqref="L10:L13"/>
    </sheetView>
  </sheetViews>
  <sheetFormatPr defaultColWidth="8.85546875" defaultRowHeight="15"/>
  <cols>
    <col min="1" max="1" width="29.42578125" customWidth="1"/>
    <col min="2" max="2" width="28.42578125" customWidth="1"/>
    <col min="3" max="3" width="18.85546875" customWidth="1"/>
    <col min="4" max="4" width="22.42578125" customWidth="1"/>
    <col min="5" max="5" width="49.85546875" customWidth="1"/>
    <col min="6" max="6" width="34.42578125" customWidth="1"/>
    <col min="7" max="7" width="80.140625" customWidth="1"/>
  </cols>
  <sheetData>
    <row r="1" spans="1:12">
      <c r="A1" s="34" t="s">
        <v>174</v>
      </c>
      <c r="B1" s="1"/>
      <c r="G1" s="1"/>
    </row>
    <row r="2" spans="1:12">
      <c r="A2" s="1"/>
      <c r="B2" s="1"/>
      <c r="C2" s="501"/>
      <c r="D2" s="501"/>
      <c r="G2" s="1"/>
    </row>
    <row r="3" spans="1:12">
      <c r="A3" s="25" t="s">
        <v>175</v>
      </c>
      <c r="B3" s="25"/>
      <c r="C3" s="407"/>
      <c r="D3" s="407"/>
      <c r="E3" s="25"/>
      <c r="F3" s="407"/>
      <c r="G3" s="407"/>
      <c r="H3" s="24"/>
    </row>
    <row r="4" spans="1:12">
      <c r="A4" s="25" t="s">
        <v>176</v>
      </c>
      <c r="B4" s="25"/>
      <c r="C4" s="407"/>
      <c r="D4" s="407"/>
      <c r="E4" s="25"/>
      <c r="F4" s="407"/>
      <c r="G4" s="407"/>
      <c r="H4" s="24"/>
    </row>
    <row r="5" spans="1:12">
      <c r="A5" s="1"/>
      <c r="B5" s="1"/>
      <c r="C5" s="501"/>
      <c r="D5" s="501"/>
      <c r="E5" s="1"/>
      <c r="F5" s="501"/>
      <c r="G5" s="501"/>
    </row>
    <row r="6" spans="1:12">
      <c r="A6" s="1"/>
      <c r="B6" s="1"/>
      <c r="C6" s="1"/>
      <c r="D6" s="1"/>
      <c r="E6" s="430" t="s">
        <v>177</v>
      </c>
      <c r="F6" s="430"/>
      <c r="G6" s="1"/>
    </row>
    <row r="7" spans="1:12">
      <c r="A7" s="1"/>
      <c r="B7" s="1"/>
      <c r="C7" s="1"/>
      <c r="D7" s="1"/>
      <c r="E7" s="1"/>
      <c r="F7" s="1"/>
      <c r="G7" s="1"/>
    </row>
    <row r="8" spans="1:12">
      <c r="A8" s="1"/>
      <c r="B8" s="26" t="s">
        <v>134</v>
      </c>
      <c r="C8" s="510" t="s">
        <v>135</v>
      </c>
      <c r="D8" s="511">
        <v>2023</v>
      </c>
      <c r="E8" s="85">
        <v>2024</v>
      </c>
      <c r="F8" s="410" t="s">
        <v>160</v>
      </c>
      <c r="G8" s="411"/>
    </row>
    <row r="9" spans="1:12">
      <c r="A9" s="1"/>
      <c r="B9" s="6" t="s">
        <v>178</v>
      </c>
      <c r="C9" s="1" t="s">
        <v>179</v>
      </c>
      <c r="D9" s="16"/>
      <c r="E9" s="52">
        <f>'Data Input Financial Statements'!D6/'Efficiency (Activity Ratio)'!F15</f>
        <v>1.1153291628426039</v>
      </c>
      <c r="F9" s="502" t="s">
        <v>180</v>
      </c>
      <c r="G9" s="503"/>
    </row>
    <row r="10" spans="1:12">
      <c r="A10" s="1"/>
      <c r="B10" s="6" t="s">
        <v>181</v>
      </c>
      <c r="C10" s="1" t="s">
        <v>182</v>
      </c>
      <c r="D10" s="16"/>
      <c r="E10" s="49">
        <f>'Data Input Financial Statements'!D6/'Efficiency (Activity Ratio)'!F16</f>
        <v>8.4725980357804325</v>
      </c>
      <c r="F10" s="502" t="s">
        <v>183</v>
      </c>
      <c r="G10" s="503"/>
      <c r="L10" s="85"/>
    </row>
    <row r="11" spans="1:12">
      <c r="A11" s="1"/>
      <c r="B11" s="7" t="s">
        <v>184</v>
      </c>
      <c r="C11" s="28" t="s">
        <v>185</v>
      </c>
      <c r="D11" s="21" t="s">
        <v>137</v>
      </c>
      <c r="E11" s="47">
        <f>-'Data Input Financial Statements'!D7/F17</f>
        <v>11.966747878805048</v>
      </c>
      <c r="F11" s="504" t="s">
        <v>186</v>
      </c>
      <c r="G11" s="505"/>
      <c r="L11" s="52"/>
    </row>
    <row r="12" spans="1:12">
      <c r="A12" s="1"/>
      <c r="B12" s="1"/>
      <c r="C12" s="1"/>
      <c r="D12" s="1"/>
      <c r="E12" s="1"/>
      <c r="F12" s="501"/>
      <c r="G12" s="501"/>
      <c r="L12" s="49"/>
    </row>
    <row r="13" spans="1:12">
      <c r="A13" s="1"/>
      <c r="B13" s="43" t="s">
        <v>187</v>
      </c>
      <c r="C13" s="1"/>
      <c r="D13" s="1"/>
      <c r="E13" s="1"/>
      <c r="F13" s="501"/>
      <c r="G13" s="501"/>
      <c r="L13" s="47"/>
    </row>
    <row r="14" spans="1:12">
      <c r="A14" s="1"/>
      <c r="B14" s="43"/>
      <c r="C14" s="1"/>
      <c r="D14" s="1"/>
      <c r="E14" s="1"/>
      <c r="F14" s="501"/>
      <c r="G14" s="501"/>
    </row>
    <row r="15" spans="1:12">
      <c r="A15" s="1"/>
      <c r="B15" s="162" t="s">
        <v>188</v>
      </c>
      <c r="C15" s="163" t="s">
        <v>189</v>
      </c>
      <c r="D15" s="158"/>
      <c r="E15" s="158"/>
      <c r="F15" s="444">
        <f>(('Data Input Financial Statements'!E42+'Data Input Financial Statements'!D42))/2</f>
        <v>1896979</v>
      </c>
      <c r="G15" s="441"/>
    </row>
    <row r="16" spans="1:12">
      <c r="A16" s="1"/>
      <c r="B16" s="164" t="s">
        <v>190</v>
      </c>
      <c r="C16" s="1" t="s">
        <v>191</v>
      </c>
      <c r="D16" s="1"/>
      <c r="E16" s="1"/>
      <c r="F16" s="437">
        <f>(('Data Input Financial Statements'!E32+'Data Input Financial Statements'!D32))/2</f>
        <v>249717.5</v>
      </c>
      <c r="G16" s="432"/>
    </row>
    <row r="17" spans="1:7">
      <c r="A17" s="1"/>
      <c r="B17" s="164" t="s">
        <v>192</v>
      </c>
      <c r="C17" s="1" t="s">
        <v>193</v>
      </c>
      <c r="D17" s="1"/>
      <c r="E17" s="1"/>
      <c r="F17" s="437">
        <f>(('Data Input Financial Statements'!E46+'Data Input Financial Statements'!D46))/2</f>
        <v>141194</v>
      </c>
      <c r="G17" s="432"/>
    </row>
    <row r="18" spans="1:7">
      <c r="A18" s="92" t="s">
        <v>194</v>
      </c>
      <c r="B18" s="164" t="s">
        <v>195</v>
      </c>
      <c r="C18" s="43" t="s">
        <v>196</v>
      </c>
      <c r="D18" s="1"/>
      <c r="E18" s="1"/>
      <c r="F18" s="437">
        <f>(('Data Input Financial Statements'!E53+'Data Input Financial Statements'!D53))/2</f>
        <v>725165.5</v>
      </c>
      <c r="G18" s="432"/>
    </row>
    <row r="19" spans="1:7">
      <c r="B19" s="165"/>
      <c r="C19" s="166"/>
      <c r="D19" s="166"/>
      <c r="E19" s="166"/>
      <c r="F19" s="512"/>
      <c r="G19" s="513"/>
    </row>
    <row r="20" spans="1:7">
      <c r="B20" t="s">
        <v>197</v>
      </c>
      <c r="F20" s="509"/>
      <c r="G20" s="509"/>
    </row>
    <row r="21" spans="1:7">
      <c r="B21" t="s">
        <v>198</v>
      </c>
      <c r="F21" s="509"/>
      <c r="G21" s="509"/>
    </row>
    <row r="22" spans="1:7">
      <c r="B22" t="s">
        <v>199</v>
      </c>
      <c r="F22" s="509"/>
      <c r="G22" s="509"/>
    </row>
    <row r="23" spans="1:7">
      <c r="F23" s="509"/>
      <c r="G23" s="509"/>
    </row>
    <row r="24" spans="1:7">
      <c r="B24" t="s">
        <v>200</v>
      </c>
      <c r="C24" t="s">
        <v>201</v>
      </c>
      <c r="F24" s="509"/>
      <c r="G24" s="509"/>
    </row>
    <row r="26" spans="1:7">
      <c r="F26" s="2" t="s">
        <v>146</v>
      </c>
    </row>
    <row r="27" spans="1:7">
      <c r="F27" s="443" t="s">
        <v>202</v>
      </c>
      <c r="G27" s="443"/>
    </row>
    <row r="30" spans="1:7">
      <c r="E30" s="430" t="s">
        <v>203</v>
      </c>
      <c r="F30" s="430"/>
    </row>
    <row r="32" spans="1:7">
      <c r="B32" s="26" t="s">
        <v>134</v>
      </c>
      <c r="C32" s="510" t="s">
        <v>135</v>
      </c>
      <c r="D32" s="511">
        <v>2023</v>
      </c>
      <c r="E32" s="86">
        <v>2023</v>
      </c>
      <c r="F32" s="410" t="s">
        <v>160</v>
      </c>
      <c r="G32" s="411"/>
    </row>
    <row r="33" spans="2:7">
      <c r="B33" s="6" t="s">
        <v>178</v>
      </c>
      <c r="C33" s="1" t="s">
        <v>179</v>
      </c>
      <c r="D33" s="16"/>
      <c r="E33" s="52">
        <f>'Data Input Financial Statements'!E6/'Efficiency (Activity Ratio)'!F40</f>
        <v>1.2254421207380133</v>
      </c>
      <c r="F33" s="502" t="s">
        <v>204</v>
      </c>
      <c r="G33" s="503"/>
    </row>
    <row r="34" spans="2:7">
      <c r="B34" s="6" t="s">
        <v>181</v>
      </c>
      <c r="C34" s="1" t="s">
        <v>182</v>
      </c>
      <c r="D34" s="16"/>
      <c r="E34" s="49">
        <f>'Data Input Financial Statements'!E6/'Efficiency (Activity Ratio)'!F41</f>
        <v>7.6579372952991855</v>
      </c>
      <c r="F34" s="502" t="s">
        <v>205</v>
      </c>
      <c r="G34" s="503"/>
    </row>
    <row r="35" spans="2:7">
      <c r="B35" s="7" t="s">
        <v>184</v>
      </c>
      <c r="C35" s="28" t="s">
        <v>185</v>
      </c>
      <c r="D35" s="21" t="s">
        <v>137</v>
      </c>
      <c r="E35" s="47">
        <f>-'Data Input Financial Statements'!E7/F42</f>
        <v>12.205043773683522</v>
      </c>
      <c r="F35" s="504" t="s">
        <v>206</v>
      </c>
      <c r="G35" s="505"/>
    </row>
    <row r="38" spans="2:7">
      <c r="B38" s="43" t="s">
        <v>187</v>
      </c>
      <c r="C38" s="1"/>
      <c r="D38" s="1"/>
      <c r="E38" s="1"/>
      <c r="F38" s="501"/>
      <c r="G38" s="501"/>
    </row>
    <row r="39" spans="2:7">
      <c r="B39" s="43"/>
      <c r="C39" s="1"/>
      <c r="D39" s="1"/>
      <c r="E39" s="1"/>
      <c r="F39" s="501"/>
      <c r="G39" s="501"/>
    </row>
    <row r="40" spans="2:7">
      <c r="B40" s="162" t="s">
        <v>188</v>
      </c>
      <c r="C40" s="163" t="s">
        <v>207</v>
      </c>
      <c r="D40" s="158"/>
      <c r="E40" s="158"/>
      <c r="F40" s="444">
        <f>(('Data Input Financial Statements'!F42+'Data Input Financial Statements'!E42))/2</f>
        <v>1609402</v>
      </c>
      <c r="G40" s="441"/>
    </row>
    <row r="41" spans="2:7">
      <c r="B41" s="164" t="s">
        <v>190</v>
      </c>
      <c r="C41" s="1" t="s">
        <v>208</v>
      </c>
      <c r="D41" s="1"/>
      <c r="E41" s="1"/>
      <c r="F41" s="437">
        <f>(('Data Input Financial Statements'!F32+'Data Input Financial Statements'!E32))/2</f>
        <v>257540.5</v>
      </c>
      <c r="G41" s="432"/>
    </row>
    <row r="42" spans="2:7">
      <c r="B42" s="164" t="s">
        <v>192</v>
      </c>
      <c r="C42" s="1" t="s">
        <v>209</v>
      </c>
      <c r="D42" s="1"/>
      <c r="E42" s="1"/>
      <c r="F42" s="437">
        <f>(('Data Input Financial Statements'!F46+'Data Input Financial Statements'!E46))/2</f>
        <v>133927.5</v>
      </c>
      <c r="G42" s="432"/>
    </row>
    <row r="43" spans="2:7">
      <c r="B43" s="167" t="s">
        <v>195</v>
      </c>
      <c r="C43" s="168" t="s">
        <v>210</v>
      </c>
      <c r="D43" s="28"/>
      <c r="E43" s="28"/>
      <c r="F43" s="442">
        <f>(('Data Input Financial Statements'!F53+'Data Input Financial Statements'!E53))/2</f>
        <v>550826</v>
      </c>
      <c r="G43" s="434"/>
    </row>
    <row r="46" spans="2:7">
      <c r="E46" s="430" t="s">
        <v>211</v>
      </c>
      <c r="F46" s="430"/>
    </row>
    <row r="48" spans="2:7">
      <c r="B48" s="26" t="s">
        <v>134</v>
      </c>
      <c r="C48" s="510" t="s">
        <v>135</v>
      </c>
      <c r="D48" s="514">
        <v>2023</v>
      </c>
      <c r="E48" s="82">
        <v>2022</v>
      </c>
      <c r="F48" s="410" t="s">
        <v>160</v>
      </c>
      <c r="G48" s="411"/>
    </row>
    <row r="49" spans="2:7">
      <c r="B49" s="6" t="s">
        <v>178</v>
      </c>
      <c r="C49" s="1" t="s">
        <v>179</v>
      </c>
      <c r="D49" s="1"/>
      <c r="E49" s="151">
        <f>'Data Input Financial Statements'!F6/'Efficiency (Activity Ratio)'!F57</f>
        <v>1.3241228818505912</v>
      </c>
      <c r="F49" s="502" t="s">
        <v>212</v>
      </c>
      <c r="G49" s="503"/>
    </row>
    <row r="50" spans="2:7">
      <c r="B50" s="6" t="s">
        <v>181</v>
      </c>
      <c r="C50" s="1" t="s">
        <v>182</v>
      </c>
      <c r="D50" s="1"/>
      <c r="E50" s="46">
        <f>'Data Input Financial Statements'!F6/'Efficiency (Activity Ratio)'!F58</f>
        <v>7.1521405661692929</v>
      </c>
      <c r="F50" s="502" t="s">
        <v>213</v>
      </c>
      <c r="G50" s="503"/>
    </row>
    <row r="51" spans="2:7">
      <c r="B51" s="7" t="s">
        <v>184</v>
      </c>
      <c r="C51" s="28" t="s">
        <v>185</v>
      </c>
      <c r="D51" s="28" t="s">
        <v>137</v>
      </c>
      <c r="E51" s="48">
        <f>-'Data Input Financial Statements'!F7/F59</f>
        <v>11.203017210691389</v>
      </c>
      <c r="F51" s="504" t="s">
        <v>214</v>
      </c>
      <c r="G51" s="505"/>
    </row>
    <row r="55" spans="2:7">
      <c r="B55" s="43" t="s">
        <v>215</v>
      </c>
      <c r="C55" s="1"/>
      <c r="D55" s="1"/>
      <c r="E55" s="1"/>
      <c r="F55" s="501"/>
      <c r="G55" s="501"/>
    </row>
    <row r="56" spans="2:7">
      <c r="B56" s="43"/>
      <c r="C56" s="1"/>
      <c r="D56" s="1"/>
      <c r="E56" s="1"/>
      <c r="F56" s="501"/>
      <c r="G56" s="501"/>
    </row>
    <row r="57" spans="2:7">
      <c r="B57" s="162" t="s">
        <v>188</v>
      </c>
      <c r="C57" s="163" t="s">
        <v>216</v>
      </c>
      <c r="D57" s="158"/>
      <c r="E57" s="159"/>
      <c r="F57" s="440">
        <f>(('Data Input Financial Statements'!G42+'Data Input Financial Statements'!F42))/2</f>
        <v>1336308</v>
      </c>
      <c r="G57" s="441"/>
    </row>
    <row r="58" spans="2:7">
      <c r="B58" s="164" t="s">
        <v>190</v>
      </c>
      <c r="C58" s="1" t="s">
        <v>217</v>
      </c>
      <c r="D58" s="1"/>
      <c r="E58" s="16"/>
      <c r="F58" s="431">
        <f>(('Data Input Financial Statements'!G32+'Data Input Financial Statements'!F32))/2</f>
        <v>247399.5</v>
      </c>
      <c r="G58" s="432"/>
    </row>
    <row r="59" spans="2:7">
      <c r="B59" s="164" t="s">
        <v>192</v>
      </c>
      <c r="C59" s="1" t="s">
        <v>218</v>
      </c>
      <c r="D59" s="1"/>
      <c r="E59" s="16"/>
      <c r="F59" s="431">
        <f>(('Data Input Financial Statements'!G46+'Data Input Financial Statements'!F46))/2</f>
        <v>133434.5</v>
      </c>
      <c r="G59" s="432"/>
    </row>
    <row r="60" spans="2:7">
      <c r="B60" s="167" t="s">
        <v>195</v>
      </c>
      <c r="C60" s="168" t="s">
        <v>219</v>
      </c>
      <c r="D60" s="28"/>
      <c r="E60" s="21"/>
      <c r="F60" s="433">
        <f>(('Data Input Financial Statements'!G53+'Data Input Financial Statements'!F53))/2</f>
        <v>419013</v>
      </c>
      <c r="G60" s="434"/>
    </row>
    <row r="63" spans="2:7">
      <c r="E63" s="430" t="s">
        <v>220</v>
      </c>
      <c r="F63" s="430"/>
    </row>
    <row r="65" spans="2:7">
      <c r="B65" s="26" t="s">
        <v>134</v>
      </c>
      <c r="C65" s="510" t="s">
        <v>135</v>
      </c>
      <c r="D65" s="514">
        <v>2023</v>
      </c>
      <c r="E65" s="174">
        <v>2021</v>
      </c>
      <c r="F65" s="435" t="s">
        <v>160</v>
      </c>
      <c r="G65" s="436"/>
    </row>
    <row r="66" spans="2:7">
      <c r="B66" s="6" t="s">
        <v>178</v>
      </c>
      <c r="C66" s="1" t="s">
        <v>179</v>
      </c>
      <c r="D66" s="1"/>
      <c r="E66" s="151">
        <f>'Data Input Financial Statements'!G6/'Efficiency (Activity Ratio)'!F74</f>
        <v>1.2953981563317138</v>
      </c>
      <c r="F66" s="502" t="s">
        <v>221</v>
      </c>
      <c r="G66" s="503"/>
    </row>
    <row r="67" spans="2:7" ht="15" customHeight="1">
      <c r="B67" s="6" t="s">
        <v>181</v>
      </c>
      <c r="C67" s="1" t="s">
        <v>182</v>
      </c>
      <c r="D67" s="1"/>
      <c r="E67" s="46">
        <f>'Data Input Financial Statements'!G6/'Efficiency (Activity Ratio)'!F75</f>
        <v>6.9065108636471289</v>
      </c>
      <c r="F67" s="438" t="s">
        <v>222</v>
      </c>
      <c r="G67" s="439"/>
    </row>
    <row r="68" spans="2:7">
      <c r="B68" s="7" t="s">
        <v>184</v>
      </c>
      <c r="C68" s="28" t="s">
        <v>185</v>
      </c>
      <c r="D68" s="28" t="s">
        <v>137</v>
      </c>
      <c r="E68" s="48">
        <f>-'Data Input Financial Statements'!G7/'Efficiency (Activity Ratio)'!F76</f>
        <v>10.082661970247687</v>
      </c>
      <c r="F68" s="504" t="s">
        <v>223</v>
      </c>
      <c r="G68" s="505"/>
    </row>
    <row r="72" spans="2:7">
      <c r="B72" s="43" t="s">
        <v>215</v>
      </c>
      <c r="C72" s="1"/>
      <c r="D72" s="1"/>
      <c r="E72" s="1"/>
      <c r="F72" s="501"/>
      <c r="G72" s="501"/>
    </row>
    <row r="73" spans="2:7">
      <c r="B73" s="43"/>
      <c r="C73" s="1"/>
      <c r="D73" s="1"/>
      <c r="E73" s="1"/>
      <c r="F73" s="501"/>
      <c r="G73" s="501"/>
    </row>
    <row r="74" spans="2:7">
      <c r="B74" s="162" t="s">
        <v>188</v>
      </c>
      <c r="C74" s="515" t="s">
        <v>224</v>
      </c>
      <c r="D74" s="515"/>
      <c r="E74" s="516"/>
      <c r="F74" s="440">
        <f>(('Data Input Financial Statements'!H42+'Data Input Financial Statements'!G42))/2</f>
        <v>1091845</v>
      </c>
      <c r="G74" s="441"/>
    </row>
    <row r="75" spans="2:7">
      <c r="B75" s="164" t="s">
        <v>190</v>
      </c>
      <c r="C75" s="501" t="s">
        <v>225</v>
      </c>
      <c r="D75" s="501"/>
      <c r="E75" s="503"/>
      <c r="F75" s="431">
        <f>(('Data Input Financial Statements'!H32+'Data Input Financial Statements'!G32))/2</f>
        <v>204788.5</v>
      </c>
      <c r="G75" s="432"/>
    </row>
    <row r="76" spans="2:7">
      <c r="B76" s="164" t="s">
        <v>192</v>
      </c>
      <c r="C76" s="501" t="s">
        <v>226</v>
      </c>
      <c r="D76" s="501"/>
      <c r="E76" s="503"/>
      <c r="F76" s="431">
        <f>(('Data Input Financial Statements'!H46+'Data Input Financial Statements'!G46))/2</f>
        <v>120091.5</v>
      </c>
      <c r="G76" s="432"/>
    </row>
    <row r="77" spans="2:7">
      <c r="B77" s="167" t="s">
        <v>195</v>
      </c>
      <c r="C77" s="517" t="s">
        <v>227</v>
      </c>
      <c r="D77" s="517"/>
      <c r="E77" s="518"/>
      <c r="F77" s="433">
        <f>(('Data Input Financial Statements'!H53+'Data Input Financial Statements'!G53))/2</f>
        <v>314478</v>
      </c>
      <c r="G77" s="434"/>
    </row>
    <row r="81" spans="2:7">
      <c r="E81" s="430" t="s">
        <v>228</v>
      </c>
      <c r="F81" s="430"/>
    </row>
    <row r="85" spans="2:7">
      <c r="B85" s="26" t="s">
        <v>134</v>
      </c>
      <c r="C85" s="510" t="s">
        <v>135</v>
      </c>
      <c r="D85" s="514">
        <v>2023</v>
      </c>
      <c r="E85" s="174">
        <v>2020</v>
      </c>
      <c r="F85" s="435" t="s">
        <v>160</v>
      </c>
      <c r="G85" s="436"/>
    </row>
    <row r="86" spans="2:7">
      <c r="B86" s="6" t="s">
        <v>178</v>
      </c>
      <c r="C86" s="1" t="s">
        <v>179</v>
      </c>
      <c r="D86" s="1"/>
      <c r="E86" s="151">
        <f>'Data Input Financial Statements'!H6/'Efficiency (Activity Ratio)'!F94</f>
        <v>1.2814334227847202</v>
      </c>
      <c r="F86" s="502" t="s">
        <v>221</v>
      </c>
      <c r="G86" s="503"/>
    </row>
    <row r="87" spans="2:7">
      <c r="B87" s="6" t="s">
        <v>181</v>
      </c>
      <c r="C87" s="1" t="s">
        <v>182</v>
      </c>
      <c r="D87" s="1"/>
      <c r="E87" s="46">
        <f>'Data Input Financial Statements'!H6/'Efficiency (Activity Ratio)'!F95</f>
        <v>5.7637847069685275</v>
      </c>
      <c r="F87" s="438" t="s">
        <v>222</v>
      </c>
      <c r="G87" s="439"/>
    </row>
    <row r="88" spans="2:7">
      <c r="B88" s="7" t="s">
        <v>184</v>
      </c>
      <c r="C88" s="28" t="s">
        <v>185</v>
      </c>
      <c r="D88" s="28" t="s">
        <v>137</v>
      </c>
      <c r="E88" s="48">
        <f>-'Data Input Financial Statements'!H7/'Efficiency (Activity Ratio)'!F96</f>
        <v>8.9960050516765904</v>
      </c>
      <c r="F88" s="504" t="s">
        <v>223</v>
      </c>
      <c r="G88" s="505"/>
    </row>
    <row r="92" spans="2:7">
      <c r="B92" s="43" t="s">
        <v>215</v>
      </c>
    </row>
    <row r="94" spans="2:7">
      <c r="B94" s="162" t="s">
        <v>188</v>
      </c>
      <c r="C94" s="515" t="s">
        <v>229</v>
      </c>
      <c r="D94" s="515"/>
      <c r="E94" s="516"/>
      <c r="F94" s="440">
        <f>(('Data Input Financial Statements'!I42+'Data Input Financial Statements'!H42))/2</f>
        <v>957317</v>
      </c>
      <c r="G94" s="441"/>
    </row>
    <row r="95" spans="2:7">
      <c r="B95" s="164" t="s">
        <v>190</v>
      </c>
      <c r="C95" s="501" t="s">
        <v>230</v>
      </c>
      <c r="D95" s="501"/>
      <c r="E95" s="503"/>
      <c r="F95" s="437">
        <f>('Data Input Financial Statements'!H32+'Data Input Financial Statements'!I32)/2</f>
        <v>212835.5</v>
      </c>
      <c r="G95" s="432"/>
    </row>
    <row r="96" spans="2:7">
      <c r="B96" s="164" t="s">
        <v>192</v>
      </c>
      <c r="C96" s="501" t="s">
        <v>231</v>
      </c>
      <c r="D96" s="501"/>
      <c r="E96" s="503"/>
      <c r="F96" s="431">
        <v>116397</v>
      </c>
      <c r="G96" s="432"/>
    </row>
    <row r="97" spans="2:7">
      <c r="B97" s="167" t="s">
        <v>195</v>
      </c>
      <c r="C97" s="517" t="s">
        <v>232</v>
      </c>
      <c r="D97" s="517"/>
      <c r="E97" s="518"/>
      <c r="F97" s="433">
        <f>('Data Input Financial Statements'!I53+'Data Input Financial Statements'!H53)/2</f>
        <v>244970</v>
      </c>
      <c r="G97" s="434"/>
    </row>
  </sheetData>
  <mergeCells count="81">
    <mergeCell ref="E30:F30"/>
    <mergeCell ref="E46:F46"/>
    <mergeCell ref="C48:D48"/>
    <mergeCell ref="F48:G48"/>
    <mergeCell ref="F49:G49"/>
    <mergeCell ref="F38:G38"/>
    <mergeCell ref="F39:G39"/>
    <mergeCell ref="F40:G40"/>
    <mergeCell ref="F41:G41"/>
    <mergeCell ref="F42:G42"/>
    <mergeCell ref="C32:D32"/>
    <mergeCell ref="F32:G32"/>
    <mergeCell ref="F33:G33"/>
    <mergeCell ref="F34:G34"/>
    <mergeCell ref="F35:G35"/>
    <mergeCell ref="F27:G27"/>
    <mergeCell ref="C8:D8"/>
    <mergeCell ref="F3:G3"/>
    <mergeCell ref="F4:G4"/>
    <mergeCell ref="F5:G5"/>
    <mergeCell ref="F8:G8"/>
    <mergeCell ref="E6:F6"/>
    <mergeCell ref="F10:G10"/>
    <mergeCell ref="F11:G11"/>
    <mergeCell ref="F12:G12"/>
    <mergeCell ref="F13:G13"/>
    <mergeCell ref="F14:G14"/>
    <mergeCell ref="F15:G15"/>
    <mergeCell ref="F16:G16"/>
    <mergeCell ref="F17:G17"/>
    <mergeCell ref="F18:G18"/>
    <mergeCell ref="C2:D2"/>
    <mergeCell ref="C3:D3"/>
    <mergeCell ref="C4:D4"/>
    <mergeCell ref="C5:D5"/>
    <mergeCell ref="F9:G9"/>
    <mergeCell ref="F24:G24"/>
    <mergeCell ref="F19:G19"/>
    <mergeCell ref="F20:G20"/>
    <mergeCell ref="F21:G21"/>
    <mergeCell ref="F22:G22"/>
    <mergeCell ref="F23:G23"/>
    <mergeCell ref="F59:G59"/>
    <mergeCell ref="F60:G60"/>
    <mergeCell ref="F43:G43"/>
    <mergeCell ref="F55:G55"/>
    <mergeCell ref="F56:G56"/>
    <mergeCell ref="F57:G57"/>
    <mergeCell ref="F58:G58"/>
    <mergeCell ref="F50:G50"/>
    <mergeCell ref="F51:G51"/>
    <mergeCell ref="E63:F63"/>
    <mergeCell ref="C65:D65"/>
    <mergeCell ref="F65:G65"/>
    <mergeCell ref="F66:G66"/>
    <mergeCell ref="F67:G67"/>
    <mergeCell ref="F86:G86"/>
    <mergeCell ref="F87:G87"/>
    <mergeCell ref="F88:G88"/>
    <mergeCell ref="F94:G94"/>
    <mergeCell ref="F68:G68"/>
    <mergeCell ref="F72:G72"/>
    <mergeCell ref="F73:G73"/>
    <mergeCell ref="F74:G74"/>
    <mergeCell ref="F75:G75"/>
    <mergeCell ref="F96:G96"/>
    <mergeCell ref="F97:G97"/>
    <mergeCell ref="C94:E94"/>
    <mergeCell ref="C95:E95"/>
    <mergeCell ref="C96:E96"/>
    <mergeCell ref="C97:E97"/>
    <mergeCell ref="F95:G95"/>
    <mergeCell ref="C74:E74"/>
    <mergeCell ref="C75:E75"/>
    <mergeCell ref="C76:E76"/>
    <mergeCell ref="C77:E77"/>
    <mergeCell ref="C85:D85"/>
    <mergeCell ref="E81:F81"/>
    <mergeCell ref="F76:G76"/>
    <mergeCell ref="F77:G77"/>
    <mergeCell ref="F85:G85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6528813-5568-4CDA-88A4-F7F808EB5C36}">
  <sheetPr>
    <tabColor rgb="FFFFFF00"/>
  </sheetPr>
  <dimension ref="A1:L41"/>
  <sheetViews>
    <sheetView workbookViewId="0">
      <selection activeCell="C20" sqref="C20:D20"/>
    </sheetView>
  </sheetViews>
  <sheetFormatPr defaultColWidth="9.140625" defaultRowHeight="15" customHeight="1"/>
  <cols>
    <col min="1" max="1" width="22.85546875" style="1" customWidth="1"/>
    <col min="2" max="2" width="25.42578125" style="1" customWidth="1"/>
    <col min="3" max="3" width="28.5703125" style="1" customWidth="1"/>
    <col min="4" max="5" width="18.85546875" style="1" customWidth="1"/>
    <col min="6" max="6" width="19.28515625" style="1" customWidth="1"/>
    <col min="7" max="9" width="17.85546875" style="1" customWidth="1"/>
    <col min="10" max="10" width="158.5703125" style="1" customWidth="1"/>
    <col min="11" max="11" width="64.28515625" style="1" customWidth="1"/>
    <col min="12" max="16384" width="9.140625" style="1"/>
  </cols>
  <sheetData>
    <row r="1" spans="1:12">
      <c r="A1" s="34" t="s">
        <v>233</v>
      </c>
      <c r="C1" s="501"/>
      <c r="D1" s="501"/>
      <c r="F1" s="71" t="s">
        <v>234</v>
      </c>
    </row>
    <row r="2" spans="1:12">
      <c r="C2" s="501"/>
      <c r="D2" s="501"/>
    </row>
    <row r="3" spans="1:12">
      <c r="A3" s="25" t="s">
        <v>235</v>
      </c>
      <c r="B3" s="25"/>
      <c r="C3" s="407"/>
      <c r="D3" s="407"/>
      <c r="E3" s="25"/>
      <c r="F3" s="25"/>
      <c r="G3" s="25"/>
      <c r="H3" s="25"/>
      <c r="I3" s="25"/>
      <c r="J3" s="25"/>
      <c r="K3" s="25"/>
      <c r="L3" s="25"/>
    </row>
    <row r="4" spans="1:12">
      <c r="A4" s="25"/>
      <c r="B4" s="25"/>
      <c r="C4" s="407"/>
      <c r="D4" s="407"/>
      <c r="E4" s="25"/>
      <c r="F4" s="25"/>
      <c r="G4" s="25"/>
      <c r="H4" s="25"/>
      <c r="I4" s="25"/>
      <c r="J4" s="25"/>
      <c r="K4" s="25"/>
      <c r="L4" s="25"/>
    </row>
    <row r="5" spans="1:12">
      <c r="B5" s="519" t="s">
        <v>236</v>
      </c>
      <c r="C5" s="519"/>
      <c r="D5" s="519"/>
      <c r="E5" s="519"/>
    </row>
    <row r="6" spans="1:12" s="45" customFormat="1">
      <c r="B6" s="35"/>
      <c r="C6" s="35"/>
    </row>
    <row r="7" spans="1:12">
      <c r="B7" s="22" t="s">
        <v>134</v>
      </c>
      <c r="C7" s="510" t="s">
        <v>135</v>
      </c>
      <c r="D7" s="514">
        <v>2023</v>
      </c>
      <c r="E7" s="85">
        <v>2024</v>
      </c>
      <c r="F7" s="86">
        <v>2023</v>
      </c>
      <c r="G7" s="87">
        <v>2022</v>
      </c>
      <c r="H7" s="82">
        <v>2021</v>
      </c>
      <c r="I7" s="229">
        <v>2020</v>
      </c>
      <c r="J7" s="30" t="s">
        <v>160</v>
      </c>
    </row>
    <row r="8" spans="1:12">
      <c r="B8" s="14" t="s">
        <v>237</v>
      </c>
      <c r="C8" s="506" t="s">
        <v>238</v>
      </c>
      <c r="D8" s="506"/>
      <c r="E8" s="226">
        <f>'Data Input Financial Statements'!D8/'Data Input Financial Statements'!D6</f>
        <v>0.2014046043116503</v>
      </c>
      <c r="F8" s="226">
        <f>'Data Input Financial Statements'!E8/'Data Input Financial Statements'!E6</f>
        <v>0.17119614405832181</v>
      </c>
      <c r="G8" s="226">
        <f>'Data Input Financial Statements'!F8/'Data Input Financial Statements'!F6</f>
        <v>0.15517204352121242</v>
      </c>
      <c r="H8" s="226">
        <f>'Data Input Financial Statements'!G8/'Data Input Financial Statements'!G6</f>
        <v>0.14390253214496307</v>
      </c>
      <c r="I8" s="228">
        <f>'Data Input Financial Statements'!H8/'Data Input Financial Statements'!H6</f>
        <v>0.14642898483620789</v>
      </c>
      <c r="J8" s="75" t="s">
        <v>239</v>
      </c>
    </row>
    <row r="9" spans="1:12">
      <c r="B9" s="6" t="s">
        <v>240</v>
      </c>
      <c r="C9" s="501" t="s">
        <v>241</v>
      </c>
      <c r="D9" s="501"/>
      <c r="E9" s="226">
        <f>'Data Input Financial Statements'!D13/'Data Input Financial Statements'!D6</f>
        <v>0.1250720782547704</v>
      </c>
      <c r="F9" s="226">
        <f>'Data Input Financial Statements'!E13/'Data Input Financial Statements'!E6</f>
        <v>0.10434640196447775</v>
      </c>
      <c r="G9" s="226">
        <f>'Data Input Financial Statements'!F13/'Data Input Financial Statements'!F6</f>
        <v>9.0350823652282419E-2</v>
      </c>
      <c r="H9" s="226">
        <f>'Data Input Financial Statements'!G13/'Data Input Financial Statements'!G6</f>
        <v>7.5659620439855371E-2</v>
      </c>
      <c r="I9" s="228">
        <f>'Data Input Financial Statements'!H13/'Data Input Financial Statements'!H6</f>
        <v>7.5496968382816873E-2</v>
      </c>
      <c r="J9" s="75" t="s">
        <v>242</v>
      </c>
    </row>
    <row r="10" spans="1:12">
      <c r="B10" s="20" t="s">
        <v>243</v>
      </c>
      <c r="C10" s="504" t="s">
        <v>244</v>
      </c>
      <c r="D10" s="505"/>
      <c r="E10" s="227">
        <f>'Data Input Financial Statements'!D21/'Data Input Financial Statements'!D6</f>
        <v>0.12168747246846989</v>
      </c>
      <c r="F10" s="227">
        <f>'Data Input Financial Statements'!E21/'Data Input Financial Statements'!E6</f>
        <v>7.030370205488308E-2</v>
      </c>
      <c r="G10" s="227">
        <f>'Data Input Financial Statements'!F21/'Data Input Financial Statements'!F6</f>
        <v>5.4659789899154307E-2</v>
      </c>
      <c r="H10" s="227">
        <f>'Data Input Financial Statements'!G21/'Data Input Financial Statements'!G6</f>
        <v>4.3451732002992134E-2</v>
      </c>
      <c r="I10" s="228">
        <f>'Data Input Financial Statements'!H21/'Data Input Financial Statements'!H6</f>
        <v>3.5152575366541185E-2</v>
      </c>
      <c r="J10" s="75" t="s">
        <v>245</v>
      </c>
    </row>
    <row r="13" spans="1:12" ht="15" customHeight="1">
      <c r="B13" s="519" t="s">
        <v>246</v>
      </c>
      <c r="C13" s="519"/>
    </row>
    <row r="14" spans="1:12">
      <c r="C14" s="501"/>
      <c r="D14" s="501"/>
    </row>
    <row r="15" spans="1:12">
      <c r="B15" s="26" t="s">
        <v>247</v>
      </c>
      <c r="C15" s="514" t="s">
        <v>135</v>
      </c>
      <c r="D15" s="511">
        <v>2023</v>
      </c>
      <c r="E15" s="461">
        <v>2024</v>
      </c>
      <c r="F15" s="462"/>
      <c r="G15" s="410" t="s">
        <v>160</v>
      </c>
      <c r="H15" s="458"/>
      <c r="I15" s="458"/>
      <c r="J15" s="411"/>
    </row>
    <row r="16" spans="1:12">
      <c r="B16" s="6" t="s">
        <v>248</v>
      </c>
      <c r="C16" s="407" t="s">
        <v>249</v>
      </c>
      <c r="D16" s="407"/>
      <c r="E16" s="455">
        <f>'Data Input Financial Statements'!D21/'Efficiency (Activity Ratio)'!F15</f>
        <v>0.13572158679669094</v>
      </c>
      <c r="F16" s="455"/>
      <c r="G16" s="407" t="s">
        <v>250</v>
      </c>
      <c r="H16" s="407"/>
      <c r="I16" s="407"/>
      <c r="J16" s="449"/>
    </row>
    <row r="17" spans="2:10">
      <c r="B17" s="7" t="s">
        <v>251</v>
      </c>
      <c r="C17" s="451" t="s">
        <v>252</v>
      </c>
      <c r="D17" s="451"/>
      <c r="E17" s="455">
        <f>'Data Input Financial Statements'!D21/'Efficiency (Activity Ratio)'!F18</f>
        <v>0.35503757418134207</v>
      </c>
      <c r="F17" s="455"/>
      <c r="G17" s="160" t="s">
        <v>253</v>
      </c>
      <c r="H17" s="160"/>
      <c r="I17" s="160"/>
      <c r="J17" s="75"/>
    </row>
    <row r="19" spans="2:10" ht="14.1" customHeight="1">
      <c r="C19" s="501"/>
      <c r="D19" s="501"/>
    </row>
    <row r="20" spans="2:10">
      <c r="B20" s="26" t="s">
        <v>247</v>
      </c>
      <c r="C20" s="514" t="s">
        <v>135</v>
      </c>
      <c r="D20" s="511">
        <v>2023</v>
      </c>
      <c r="E20" s="459">
        <v>2023</v>
      </c>
      <c r="F20" s="460"/>
      <c r="G20" s="410" t="s">
        <v>160</v>
      </c>
      <c r="H20" s="458"/>
      <c r="I20" s="458"/>
      <c r="J20" s="411"/>
    </row>
    <row r="21" spans="2:10" ht="14.1" customHeight="1">
      <c r="B21" s="6" t="s">
        <v>248</v>
      </c>
      <c r="C21" s="407" t="s">
        <v>249</v>
      </c>
      <c r="D21" s="407"/>
      <c r="E21" s="455">
        <f>'Data Input Financial Statements'!E21/'Efficiency (Activity Ratio)'!F40</f>
        <v>8.6153117741869345E-2</v>
      </c>
      <c r="F21" s="455"/>
      <c r="G21" s="407" t="s">
        <v>254</v>
      </c>
      <c r="H21" s="407"/>
      <c r="I21" s="407"/>
      <c r="J21" s="449"/>
    </row>
    <row r="22" spans="2:10">
      <c r="B22" s="7" t="s">
        <v>251</v>
      </c>
      <c r="C22" s="451" t="s">
        <v>252</v>
      </c>
      <c r="D22" s="451"/>
      <c r="E22" s="455">
        <f>'Data Input Financial Statements'!E21/'Efficiency (Activity Ratio)'!F43</f>
        <v>0.25172195938463326</v>
      </c>
      <c r="F22" s="455"/>
      <c r="G22" s="451" t="s">
        <v>255</v>
      </c>
      <c r="H22" s="451"/>
      <c r="I22" s="451"/>
      <c r="J22" s="452"/>
    </row>
    <row r="23" spans="2:10"/>
    <row r="24" spans="2:10" ht="15" customHeight="1">
      <c r="B24" s="26" t="s">
        <v>247</v>
      </c>
      <c r="C24" s="514" t="s">
        <v>135</v>
      </c>
      <c r="D24" s="514">
        <v>2023</v>
      </c>
      <c r="E24" s="463">
        <v>2022</v>
      </c>
      <c r="F24" s="464"/>
      <c r="G24" s="458" t="s">
        <v>160</v>
      </c>
      <c r="H24" s="458"/>
      <c r="I24" s="458"/>
      <c r="J24" s="411"/>
    </row>
    <row r="25" spans="2:10" ht="15" customHeight="1">
      <c r="B25" s="6" t="s">
        <v>248</v>
      </c>
      <c r="C25" s="407" t="s">
        <v>249</v>
      </c>
      <c r="D25" s="407"/>
      <c r="E25" s="455">
        <f>'Data Input Financial Statements'!F21/'Efficiency (Activity Ratio)'!F57</f>
        <v>7.237627852261605E-2</v>
      </c>
      <c r="F25" s="455"/>
      <c r="G25" s="446" t="s">
        <v>256</v>
      </c>
      <c r="H25" s="446"/>
      <c r="I25" s="446"/>
      <c r="J25" s="415"/>
    </row>
    <row r="26" spans="2:10" ht="15" customHeight="1">
      <c r="B26" s="7" t="s">
        <v>251</v>
      </c>
      <c r="C26" s="451" t="s">
        <v>252</v>
      </c>
      <c r="D26" s="451"/>
      <c r="E26" s="455">
        <f>'Data Input Financial Statements'!F21/'Efficiency (Activity Ratio)'!F60</f>
        <v>0.23082100078040538</v>
      </c>
      <c r="F26" s="455"/>
      <c r="G26" s="454" t="s">
        <v>257</v>
      </c>
      <c r="H26" s="454"/>
      <c r="I26" s="454"/>
      <c r="J26" s="417"/>
    </row>
    <row r="29" spans="2:10" ht="15" customHeight="1">
      <c r="B29" s="26" t="s">
        <v>247</v>
      </c>
      <c r="C29" s="514" t="s">
        <v>135</v>
      </c>
      <c r="D29" s="514">
        <v>2023</v>
      </c>
      <c r="E29" s="465">
        <v>2021</v>
      </c>
      <c r="F29" s="466"/>
      <c r="G29" s="458" t="s">
        <v>160</v>
      </c>
      <c r="H29" s="458"/>
      <c r="I29" s="458"/>
      <c r="J29" s="411"/>
    </row>
    <row r="30" spans="2:10">
      <c r="B30" s="6" t="s">
        <v>248</v>
      </c>
      <c r="C30" s="407" t="s">
        <v>249</v>
      </c>
      <c r="D30" s="407"/>
      <c r="E30" s="455">
        <f>'Data Input Financial Statements'!G21/'Efficiency (Activity Ratio)'!F74</f>
        <v>5.6287293526095739E-2</v>
      </c>
      <c r="F30" s="455"/>
      <c r="G30" s="467" t="s">
        <v>258</v>
      </c>
      <c r="H30" s="467"/>
      <c r="I30" s="467"/>
      <c r="J30" s="468"/>
    </row>
    <row r="31" spans="2:10">
      <c r="B31" s="7" t="s">
        <v>251</v>
      </c>
      <c r="C31" s="451" t="s">
        <v>252</v>
      </c>
      <c r="D31" s="451"/>
      <c r="E31" s="455">
        <f>'Data Input Financial Statements'!G21/'Efficiency (Activity Ratio)'!F77</f>
        <v>0.19542543516557598</v>
      </c>
      <c r="F31" s="455"/>
      <c r="G31" s="454" t="s">
        <v>259</v>
      </c>
      <c r="H31" s="454"/>
      <c r="I31" s="454"/>
      <c r="J31" s="417"/>
    </row>
    <row r="32" spans="2:10"/>
    <row r="33" spans="2:10">
      <c r="B33" s="26" t="s">
        <v>247</v>
      </c>
      <c r="C33" s="514" t="s">
        <v>135</v>
      </c>
      <c r="D33" s="514">
        <v>2023</v>
      </c>
      <c r="E33" s="456">
        <v>2020</v>
      </c>
      <c r="F33" s="457"/>
      <c r="G33" s="458" t="s">
        <v>160</v>
      </c>
      <c r="H33" s="458"/>
      <c r="I33" s="458"/>
      <c r="J33" s="411"/>
    </row>
    <row r="34" spans="2:10">
      <c r="B34" s="6" t="s">
        <v>248</v>
      </c>
      <c r="C34" s="407" t="s">
        <v>249</v>
      </c>
      <c r="D34" s="449"/>
      <c r="E34" s="450">
        <f>'Data Input Financial Statements'!H21/'Efficiency (Activity Ratio)'!F94</f>
        <v>4.5045684971644712E-2</v>
      </c>
      <c r="F34" s="450"/>
      <c r="G34" s="414" t="s">
        <v>260</v>
      </c>
      <c r="H34" s="446"/>
      <c r="I34" s="446"/>
      <c r="J34" s="415"/>
    </row>
    <row r="35" spans="2:10">
      <c r="B35" s="7" t="s">
        <v>251</v>
      </c>
      <c r="C35" s="451" t="s">
        <v>252</v>
      </c>
      <c r="D35" s="452"/>
      <c r="E35" s="453">
        <f>'Data Input Financial Statements'!H21/'Efficiency (Activity Ratio)'!F97</f>
        <v>0.17603380005714986</v>
      </c>
      <c r="F35" s="453"/>
      <c r="G35" s="416" t="s">
        <v>261</v>
      </c>
      <c r="H35" s="454"/>
      <c r="I35" s="454"/>
      <c r="J35" s="417"/>
    </row>
    <row r="36" spans="2:10">
      <c r="B36" s="2"/>
      <c r="C36" s="520"/>
      <c r="D36" s="520"/>
      <c r="E36" s="447"/>
      <c r="F36" s="447"/>
      <c r="G36" s="448"/>
      <c r="H36" s="448"/>
      <c r="I36" s="448"/>
      <c r="J36" s="448"/>
    </row>
    <row r="37" spans="2:10">
      <c r="C37" s="407"/>
      <c r="D37" s="407"/>
      <c r="E37" s="445"/>
      <c r="F37" s="445"/>
      <c r="G37" s="446"/>
      <c r="H37" s="446"/>
      <c r="I37" s="446"/>
      <c r="J37" s="446"/>
    </row>
    <row r="38" spans="2:10">
      <c r="C38" s="407"/>
      <c r="D38" s="407"/>
      <c r="E38" s="445"/>
      <c r="F38" s="445"/>
      <c r="G38" s="446"/>
      <c r="H38" s="446"/>
      <c r="I38" s="446"/>
      <c r="J38" s="446"/>
    </row>
    <row r="39" spans="2:10"/>
    <row r="40" spans="2:10"/>
    <row r="41" spans="2:10"/>
  </sheetData>
  <mergeCells count="65">
    <mergeCell ref="C26:D26"/>
    <mergeCell ref="G26:J26"/>
    <mergeCell ref="C30:D30"/>
    <mergeCell ref="C24:D24"/>
    <mergeCell ref="G24:J24"/>
    <mergeCell ref="C25:D25"/>
    <mergeCell ref="G25:J25"/>
    <mergeCell ref="E24:F24"/>
    <mergeCell ref="E25:F25"/>
    <mergeCell ref="E26:F26"/>
    <mergeCell ref="C29:D29"/>
    <mergeCell ref="E29:F29"/>
    <mergeCell ref="G29:J29"/>
    <mergeCell ref="E30:F30"/>
    <mergeCell ref="G30:J30"/>
    <mergeCell ref="G15:J15"/>
    <mergeCell ref="G16:J16"/>
    <mergeCell ref="C8:D8"/>
    <mergeCell ref="C9:D9"/>
    <mergeCell ref="C16:D16"/>
    <mergeCell ref="C17:D17"/>
    <mergeCell ref="C10:D10"/>
    <mergeCell ref="C14:D14"/>
    <mergeCell ref="C15:D15"/>
    <mergeCell ref="E15:F15"/>
    <mergeCell ref="E16:F16"/>
    <mergeCell ref="E17:F17"/>
    <mergeCell ref="B13:C13"/>
    <mergeCell ref="C7:D7"/>
    <mergeCell ref="C1:D1"/>
    <mergeCell ref="C2:D2"/>
    <mergeCell ref="C3:D3"/>
    <mergeCell ref="C4:D4"/>
    <mergeCell ref="B5:E5"/>
    <mergeCell ref="G22:J22"/>
    <mergeCell ref="C22:D22"/>
    <mergeCell ref="E22:F22"/>
    <mergeCell ref="C19:D19"/>
    <mergeCell ref="C20:D20"/>
    <mergeCell ref="G20:J20"/>
    <mergeCell ref="C21:D21"/>
    <mergeCell ref="G21:J21"/>
    <mergeCell ref="E20:F20"/>
    <mergeCell ref="E21:F21"/>
    <mergeCell ref="C31:D31"/>
    <mergeCell ref="E31:F31"/>
    <mergeCell ref="G31:J31"/>
    <mergeCell ref="C33:D33"/>
    <mergeCell ref="E33:F33"/>
    <mergeCell ref="G33:J33"/>
    <mergeCell ref="C34:D34"/>
    <mergeCell ref="E34:F34"/>
    <mergeCell ref="G34:J34"/>
    <mergeCell ref="C35:D35"/>
    <mergeCell ref="E35:F35"/>
    <mergeCell ref="G35:J35"/>
    <mergeCell ref="C38:D38"/>
    <mergeCell ref="E38:F38"/>
    <mergeCell ref="G38:J38"/>
    <mergeCell ref="C36:D36"/>
    <mergeCell ref="E36:F36"/>
    <mergeCell ref="G36:J36"/>
    <mergeCell ref="C37:D37"/>
    <mergeCell ref="E37:F37"/>
    <mergeCell ref="G37:J37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A638FB8-67F9-4305-9FD6-88078EFDC566}">
  <sheetPr>
    <tabColor rgb="FFFFFF00"/>
  </sheetPr>
  <dimension ref="A1:E50"/>
  <sheetViews>
    <sheetView topLeftCell="E1" workbookViewId="0">
      <selection activeCell="C26" sqref="C26"/>
    </sheetView>
  </sheetViews>
  <sheetFormatPr defaultColWidth="9.140625" defaultRowHeight="14.1"/>
  <cols>
    <col min="1" max="1" width="30.28515625" style="1" customWidth="1"/>
    <col min="2" max="2" width="33.28515625" style="1" customWidth="1"/>
    <col min="3" max="3" width="20.85546875" style="1" customWidth="1"/>
    <col min="4" max="4" width="19.85546875" style="1" customWidth="1"/>
    <col min="5" max="5" width="170.5703125" style="1" customWidth="1"/>
    <col min="6" max="16384" width="9.140625" style="1"/>
  </cols>
  <sheetData>
    <row r="1" spans="1:5" ht="15">
      <c r="A1" s="34" t="s">
        <v>262</v>
      </c>
    </row>
    <row r="2" spans="1:5" ht="15"/>
    <row r="3" spans="1:5" ht="15">
      <c r="A3" s="501" t="s">
        <v>263</v>
      </c>
      <c r="B3" s="501"/>
      <c r="C3" s="501"/>
    </row>
    <row r="4" spans="1:5" ht="15">
      <c r="D4" s="71">
        <v>2024</v>
      </c>
    </row>
    <row r="5" spans="1:5" ht="15"/>
    <row r="6" spans="1:5" ht="15">
      <c r="A6" s="57" t="s">
        <v>134</v>
      </c>
      <c r="B6" s="58" t="s">
        <v>135</v>
      </c>
      <c r="C6" s="58" t="s">
        <v>264</v>
      </c>
      <c r="D6" s="91">
        <v>2024</v>
      </c>
      <c r="E6" s="4" t="s">
        <v>160</v>
      </c>
    </row>
    <row r="7" spans="1:5" ht="14.1" customHeight="1">
      <c r="A7" s="17" t="s">
        <v>77</v>
      </c>
      <c r="B7" s="13" t="s">
        <v>265</v>
      </c>
      <c r="C7" s="13" t="s">
        <v>265</v>
      </c>
      <c r="D7" s="53">
        <f>'Data Input Financial Statements'!D22</f>
        <v>8.35</v>
      </c>
      <c r="E7" s="475" t="s">
        <v>266</v>
      </c>
    </row>
    <row r="8" spans="1:5" ht="14.1" customHeight="1">
      <c r="A8" s="17" t="s">
        <v>267</v>
      </c>
      <c r="B8" s="13" t="s">
        <v>268</v>
      </c>
      <c r="C8" s="13" t="s">
        <v>269</v>
      </c>
      <c r="D8" s="49">
        <f>'Data Input Financial Statements'!D77/'Data Input Financial Statements'!D22</f>
        <v>21.25868263473054</v>
      </c>
      <c r="E8" s="476"/>
    </row>
    <row r="9" spans="1:5" ht="14.1" customHeight="1">
      <c r="A9" s="17" t="s">
        <v>270</v>
      </c>
      <c r="B9" s="13" t="s">
        <v>271</v>
      </c>
      <c r="C9" s="13" t="s">
        <v>272</v>
      </c>
      <c r="D9" s="54">
        <f>0/'Data Input Financial Statements'!D21</f>
        <v>0</v>
      </c>
      <c r="E9" s="476"/>
    </row>
    <row r="10" spans="1:5" ht="14.1" customHeight="1">
      <c r="A10" s="20" t="s">
        <v>273</v>
      </c>
      <c r="B10" s="56" t="s">
        <v>274</v>
      </c>
      <c r="C10" s="56" t="s">
        <v>275</v>
      </c>
      <c r="D10" s="55">
        <f>0/'Data Input Financial Statements'!D77</f>
        <v>0</v>
      </c>
      <c r="E10" s="477"/>
    </row>
    <row r="11" spans="1:5" ht="15"/>
    <row r="12" spans="1:5" ht="14.1" customHeight="1">
      <c r="B12" s="521" t="s">
        <v>276</v>
      </c>
      <c r="C12" s="501"/>
    </row>
    <row r="13" spans="1:5" ht="15"/>
    <row r="14" spans="1:5" ht="15">
      <c r="D14" s="71">
        <v>2023</v>
      </c>
    </row>
    <row r="15" spans="1:5" ht="15"/>
    <row r="16" spans="1:5" ht="15">
      <c r="A16" s="57" t="s">
        <v>134</v>
      </c>
      <c r="B16" s="58" t="s">
        <v>135</v>
      </c>
      <c r="C16" s="58" t="s">
        <v>264</v>
      </c>
      <c r="D16" s="81">
        <v>2023</v>
      </c>
      <c r="E16" s="74" t="s">
        <v>160</v>
      </c>
    </row>
    <row r="17" spans="1:5" ht="15">
      <c r="A17" s="17" t="s">
        <v>77</v>
      </c>
      <c r="B17" s="13" t="s">
        <v>265</v>
      </c>
      <c r="C17" s="76" t="s">
        <v>265</v>
      </c>
      <c r="D17" s="53">
        <f>'Data Input Financial Statements'!E22</f>
        <v>4.51</v>
      </c>
      <c r="E17" s="469" t="s">
        <v>277</v>
      </c>
    </row>
    <row r="18" spans="1:5" ht="15">
      <c r="A18" s="17" t="s">
        <v>267</v>
      </c>
      <c r="B18" s="13" t="s">
        <v>268</v>
      </c>
      <c r="C18" s="13" t="s">
        <v>278</v>
      </c>
      <c r="D18" s="49">
        <f>'Data Input Financial Statements'!E77/'Data Input Financial Statements'!E22</f>
        <v>19.49667405764967</v>
      </c>
      <c r="E18" s="470"/>
    </row>
    <row r="19" spans="1:5" ht="15">
      <c r="A19" s="17" t="s">
        <v>270</v>
      </c>
      <c r="B19" s="13" t="s">
        <v>271</v>
      </c>
      <c r="C19" s="13" t="s">
        <v>279</v>
      </c>
      <c r="D19" s="54">
        <f>0/'Data Input Financial Statements'!E21</f>
        <v>0</v>
      </c>
      <c r="E19" s="470"/>
    </row>
    <row r="20" spans="1:5" ht="15">
      <c r="A20" s="20" t="s">
        <v>273</v>
      </c>
      <c r="B20" s="56" t="s">
        <v>274</v>
      </c>
      <c r="C20" s="56" t="s">
        <v>280</v>
      </c>
      <c r="D20" s="55">
        <f>0/'Data Input Financial Statements'!E77</f>
        <v>0</v>
      </c>
      <c r="E20" s="471"/>
    </row>
    <row r="21" spans="1:5" ht="15"/>
    <row r="22" spans="1:5" ht="15">
      <c r="D22" s="71">
        <v>2022</v>
      </c>
    </row>
    <row r="23" spans="1:5" ht="15"/>
    <row r="24" spans="1:5" ht="15">
      <c r="A24" s="57" t="s">
        <v>134</v>
      </c>
      <c r="B24" s="58" t="s">
        <v>135</v>
      </c>
      <c r="C24" s="58" t="s">
        <v>264</v>
      </c>
      <c r="D24" s="80">
        <v>2022</v>
      </c>
      <c r="E24" s="74" t="s">
        <v>160</v>
      </c>
    </row>
    <row r="25" spans="1:5" ht="15">
      <c r="A25" s="17" t="s">
        <v>77</v>
      </c>
      <c r="B25" s="13" t="s">
        <v>265</v>
      </c>
      <c r="C25" s="76" t="s">
        <v>281</v>
      </c>
      <c r="D25" s="53">
        <f>'Data Input Financial Statements'!F22</f>
        <v>3.2</v>
      </c>
      <c r="E25" s="472" t="s">
        <v>282</v>
      </c>
    </row>
    <row r="26" spans="1:5" ht="15">
      <c r="A26" s="17" t="s">
        <v>267</v>
      </c>
      <c r="B26" s="13" t="s">
        <v>268</v>
      </c>
      <c r="C26" s="13" t="s">
        <v>283</v>
      </c>
      <c r="D26" s="13">
        <f>'Data Input Financial Statements'!F77/'Data Input Financial Statements'!F22</f>
        <v>10.249999999999998</v>
      </c>
      <c r="E26" s="473"/>
    </row>
    <row r="27" spans="1:5" ht="15">
      <c r="A27" s="17" t="s">
        <v>270</v>
      </c>
      <c r="B27" s="13" t="s">
        <v>271</v>
      </c>
      <c r="C27" s="13" t="s">
        <v>284</v>
      </c>
      <c r="D27" s="54">
        <v>0</v>
      </c>
      <c r="E27" s="473"/>
    </row>
    <row r="28" spans="1:5" ht="15">
      <c r="A28" s="20" t="s">
        <v>273</v>
      </c>
      <c r="B28" s="56" t="s">
        <v>274</v>
      </c>
      <c r="C28" s="56" t="s">
        <v>285</v>
      </c>
      <c r="D28" s="55">
        <v>0</v>
      </c>
      <c r="E28" s="474"/>
    </row>
    <row r="29" spans="1:5" ht="15"/>
    <row r="31" spans="1:5" ht="15">
      <c r="D31" s="71">
        <v>2021</v>
      </c>
    </row>
    <row r="32" spans="1:5" ht="15"/>
    <row r="33" spans="1:5" ht="15">
      <c r="A33" s="57" t="s">
        <v>134</v>
      </c>
      <c r="B33" s="58" t="s">
        <v>135</v>
      </c>
      <c r="C33" s="58" t="s">
        <v>264</v>
      </c>
      <c r="D33" s="174">
        <v>2021</v>
      </c>
      <c r="E33" s="4" t="s">
        <v>160</v>
      </c>
    </row>
    <row r="34" spans="1:5" ht="15">
      <c r="A34" s="17" t="s">
        <v>77</v>
      </c>
      <c r="B34" s="13" t="s">
        <v>265</v>
      </c>
      <c r="C34" s="76" t="s">
        <v>265</v>
      </c>
      <c r="D34" s="53">
        <f>'Data Input Financial Statements'!G22</f>
        <v>2.15</v>
      </c>
      <c r="E34" s="469" t="s">
        <v>286</v>
      </c>
    </row>
    <row r="35" spans="1:5" ht="15">
      <c r="A35" s="17" t="s">
        <v>267</v>
      </c>
      <c r="B35" s="13" t="s">
        <v>268</v>
      </c>
      <c r="C35" s="76" t="s">
        <v>287</v>
      </c>
      <c r="D35" s="49">
        <f>'Data Input Financial Statements'!G77/'Data Input Financial Statements'!G22</f>
        <v>12.232558139534884</v>
      </c>
      <c r="E35" s="470"/>
    </row>
    <row r="36" spans="1:5" ht="15">
      <c r="A36" s="17" t="s">
        <v>270</v>
      </c>
      <c r="B36" s="13" t="s">
        <v>271</v>
      </c>
      <c r="C36" s="13" t="s">
        <v>288</v>
      </c>
      <c r="D36" s="54">
        <f>0/'Data Input Financial Statements'!G21</f>
        <v>0</v>
      </c>
      <c r="E36" s="470"/>
    </row>
    <row r="37" spans="1:5" ht="15">
      <c r="A37" s="20" t="s">
        <v>273</v>
      </c>
      <c r="B37" s="56" t="s">
        <v>274</v>
      </c>
      <c r="C37" s="56" t="s">
        <v>289</v>
      </c>
      <c r="D37" s="55">
        <f>0/'Data Input Financial Statements'!G77</f>
        <v>0</v>
      </c>
      <c r="E37" s="471"/>
    </row>
    <row r="38" spans="1:5" ht="15"/>
    <row r="41" spans="1:5" ht="15"/>
    <row r="43" spans="1:5" ht="15">
      <c r="D43" s="71">
        <v>2020</v>
      </c>
    </row>
    <row r="44" spans="1:5" ht="15"/>
    <row r="45" spans="1:5" ht="15">
      <c r="A45" s="57" t="s">
        <v>134</v>
      </c>
      <c r="B45" s="58" t="s">
        <v>135</v>
      </c>
      <c r="C45" s="58" t="s">
        <v>264</v>
      </c>
      <c r="D45" s="176">
        <v>2020</v>
      </c>
      <c r="E45" s="175" t="s">
        <v>160</v>
      </c>
    </row>
    <row r="46" spans="1:5" ht="15">
      <c r="A46" s="17" t="s">
        <v>77</v>
      </c>
      <c r="B46" s="13" t="s">
        <v>265</v>
      </c>
      <c r="C46" s="76" t="s">
        <v>265</v>
      </c>
      <c r="D46" s="53">
        <v>1.55</v>
      </c>
      <c r="E46" s="469" t="s">
        <v>290</v>
      </c>
    </row>
    <row r="47" spans="1:5" ht="15">
      <c r="A47" s="17" t="s">
        <v>267</v>
      </c>
      <c r="B47" s="13" t="s">
        <v>268</v>
      </c>
      <c r="C47" s="13" t="s">
        <v>291</v>
      </c>
      <c r="D47" s="49">
        <f>'Data Input Financial Statements'!H77/'Data Input Financial Statements'!H22</f>
        <v>12.006451612903225</v>
      </c>
      <c r="E47" s="470"/>
    </row>
    <row r="48" spans="1:5" ht="15">
      <c r="A48" s="17" t="s">
        <v>270</v>
      </c>
      <c r="B48" s="13" t="s">
        <v>271</v>
      </c>
      <c r="C48" s="13" t="s">
        <v>292</v>
      </c>
      <c r="D48" s="54">
        <v>0</v>
      </c>
      <c r="E48" s="470"/>
    </row>
    <row r="49" spans="1:5" ht="15">
      <c r="A49" s="20" t="s">
        <v>273</v>
      </c>
      <c r="B49" s="56" t="s">
        <v>274</v>
      </c>
      <c r="C49" s="56" t="s">
        <v>293</v>
      </c>
      <c r="D49" s="55">
        <v>0</v>
      </c>
      <c r="E49" s="471"/>
    </row>
    <row r="50" spans="1:5" ht="15"/>
  </sheetData>
  <mergeCells count="7">
    <mergeCell ref="E46:E49"/>
    <mergeCell ref="A3:C3"/>
    <mergeCell ref="B12:C12"/>
    <mergeCell ref="E34:E37"/>
    <mergeCell ref="E25:E28"/>
    <mergeCell ref="E7:E10"/>
    <mergeCell ref="E17:E20"/>
  </mergeCells>
  <pageMargins left="0.7" right="0.7" top="0.75" bottom="0.75" header="0.3" footer="0.3"/>
  <legacyDrawing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01FCAB8-E269-455F-9853-F3FF0C0A2C4D}">
  <sheetPr>
    <tabColor rgb="FFFFFF00"/>
  </sheetPr>
  <dimension ref="A1:V44"/>
  <sheetViews>
    <sheetView workbookViewId="0">
      <selection sqref="A1:B1"/>
    </sheetView>
  </sheetViews>
  <sheetFormatPr defaultRowHeight="15"/>
  <cols>
    <col min="2" max="2" width="21.7109375" customWidth="1"/>
    <col min="3" max="3" width="42.7109375" customWidth="1"/>
    <col min="4" max="4" width="18.85546875" customWidth="1"/>
    <col min="5" max="5" width="20.42578125" customWidth="1"/>
    <col min="6" max="8" width="18.28515625" customWidth="1"/>
    <col min="14" max="14" width="11.140625" customWidth="1"/>
  </cols>
  <sheetData>
    <row r="1" spans="1:22">
      <c r="A1" s="485" t="s">
        <v>294</v>
      </c>
      <c r="B1" s="485"/>
      <c r="C1" s="119"/>
      <c r="D1" s="119"/>
      <c r="E1" s="77"/>
      <c r="F1" s="77"/>
      <c r="G1" s="77"/>
      <c r="H1" s="77"/>
      <c r="I1" s="77"/>
      <c r="J1" s="77"/>
      <c r="K1" s="77"/>
      <c r="L1" s="77"/>
      <c r="M1" s="77"/>
      <c r="N1" s="77"/>
      <c r="O1" s="77"/>
      <c r="P1" s="77"/>
      <c r="Q1" s="77"/>
      <c r="R1" s="77"/>
      <c r="S1" s="77"/>
      <c r="T1" s="77"/>
      <c r="U1" s="77"/>
      <c r="V1" s="77"/>
    </row>
    <row r="2" spans="1:22">
      <c r="A2" s="77"/>
      <c r="B2" s="77"/>
      <c r="C2" s="77"/>
      <c r="D2" s="77"/>
      <c r="E2" s="77"/>
      <c r="F2" s="77"/>
      <c r="G2" s="77"/>
      <c r="H2" s="77"/>
      <c r="I2" s="77"/>
      <c r="J2" s="77"/>
      <c r="K2" s="77"/>
      <c r="L2" s="77"/>
      <c r="M2" s="77"/>
      <c r="N2" s="77"/>
      <c r="O2" s="77"/>
      <c r="P2" s="77"/>
      <c r="Q2" s="77"/>
      <c r="R2" s="77"/>
      <c r="S2" s="77"/>
      <c r="T2" s="77"/>
      <c r="U2" s="77"/>
      <c r="V2" s="77"/>
    </row>
    <row r="3" spans="1:22">
      <c r="A3" s="77"/>
      <c r="B3" s="117" t="s">
        <v>295</v>
      </c>
      <c r="C3" s="77"/>
      <c r="D3" s="77"/>
      <c r="E3" s="77"/>
      <c r="F3" s="77"/>
      <c r="G3" s="77"/>
      <c r="H3" s="77"/>
      <c r="I3" s="77"/>
      <c r="J3" s="77"/>
      <c r="K3" s="77"/>
      <c r="L3" s="77"/>
      <c r="M3" s="77"/>
      <c r="N3" s="77"/>
      <c r="O3" s="77"/>
      <c r="P3" s="77"/>
      <c r="Q3" s="77"/>
      <c r="R3" s="77"/>
      <c r="S3" s="77"/>
      <c r="T3" s="77"/>
      <c r="U3" s="77"/>
      <c r="V3" s="77"/>
    </row>
    <row r="4" spans="1:22">
      <c r="A4" s="77"/>
      <c r="B4" s="77"/>
      <c r="C4" s="77"/>
      <c r="D4" s="77"/>
      <c r="E4" s="77"/>
      <c r="F4" s="77"/>
      <c r="G4" s="77"/>
      <c r="H4" s="77"/>
      <c r="I4" s="77"/>
      <c r="J4" s="77"/>
      <c r="K4" s="77"/>
      <c r="L4" s="77"/>
      <c r="M4" s="77"/>
      <c r="N4" s="77"/>
      <c r="O4" s="77"/>
      <c r="P4" s="77"/>
      <c r="Q4" s="77"/>
      <c r="R4" s="77"/>
      <c r="S4" s="77"/>
      <c r="T4" s="77"/>
      <c r="U4" s="77"/>
      <c r="V4" s="77"/>
    </row>
    <row r="5" spans="1:22">
      <c r="A5" s="77"/>
      <c r="B5" s="100" t="s">
        <v>134</v>
      </c>
      <c r="C5" s="101" t="s">
        <v>296</v>
      </c>
      <c r="D5" s="155">
        <v>2024</v>
      </c>
      <c r="E5" s="156">
        <v>2023</v>
      </c>
      <c r="F5" s="157">
        <v>2022</v>
      </c>
      <c r="G5" s="173">
        <v>2021</v>
      </c>
      <c r="H5" s="176">
        <v>2020</v>
      </c>
      <c r="I5" s="481" t="s">
        <v>153</v>
      </c>
      <c r="J5" s="481"/>
      <c r="K5" s="481"/>
      <c r="L5" s="481"/>
      <c r="M5" s="481"/>
      <c r="N5" s="482"/>
      <c r="O5" s="77"/>
      <c r="P5" s="77"/>
      <c r="Q5" s="77"/>
      <c r="R5" s="77"/>
      <c r="S5" s="77"/>
      <c r="T5" s="77"/>
      <c r="U5" s="77"/>
      <c r="V5" s="77"/>
    </row>
    <row r="6" spans="1:22">
      <c r="A6" s="77"/>
      <c r="B6" s="105" t="s">
        <v>295</v>
      </c>
      <c r="C6" s="106" t="s">
        <v>297</v>
      </c>
      <c r="D6" s="185">
        <f>1.2*D10+1.4*D11+3.3*D12+0.6*D13+1*D14</f>
        <v>5.0092531845324846</v>
      </c>
      <c r="E6" s="185">
        <f t="shared" ref="E6:H6" si="0">1.2*E10+1.4*E11+3.3*E12+0.6*E13+1*E14</f>
        <v>3.7714020059249851</v>
      </c>
      <c r="F6" s="185">
        <f t="shared" si="0"/>
        <v>2.8068288336323444</v>
      </c>
      <c r="G6" s="185">
        <f t="shared" si="0"/>
        <v>2.4537289120155767</v>
      </c>
      <c r="H6" s="185">
        <f t="shared" si="0"/>
        <v>2.5136074828990882</v>
      </c>
      <c r="I6" s="490" t="s">
        <v>298</v>
      </c>
      <c r="J6" s="490"/>
      <c r="K6" s="490"/>
      <c r="L6" s="490"/>
      <c r="M6" s="490"/>
      <c r="N6" s="491"/>
      <c r="O6" s="77"/>
      <c r="P6" s="77"/>
      <c r="Q6" s="77"/>
      <c r="R6" s="77"/>
      <c r="S6" s="77"/>
      <c r="T6" s="77"/>
      <c r="U6" s="77"/>
      <c r="V6" s="77"/>
    </row>
    <row r="7" spans="1:22">
      <c r="A7" s="77"/>
      <c r="B7" s="77"/>
      <c r="C7" s="77"/>
      <c r="I7" s="77"/>
      <c r="J7" s="77"/>
      <c r="K7" s="77"/>
      <c r="L7" s="77"/>
      <c r="M7" s="77"/>
      <c r="N7" s="77"/>
      <c r="O7" s="77"/>
      <c r="P7" s="77"/>
      <c r="Q7" s="77"/>
      <c r="R7" s="77"/>
      <c r="S7" s="77"/>
      <c r="T7" s="77"/>
      <c r="U7" s="77"/>
      <c r="V7" s="77"/>
    </row>
    <row r="8" spans="1:22">
      <c r="A8" s="77"/>
      <c r="B8" s="77" t="s">
        <v>299</v>
      </c>
      <c r="C8" s="77"/>
      <c r="D8" s="77"/>
      <c r="E8" s="77"/>
      <c r="F8" s="77"/>
      <c r="G8" s="77"/>
      <c r="H8" s="77"/>
      <c r="I8" s="77"/>
      <c r="J8" s="77"/>
      <c r="K8" s="77"/>
      <c r="L8" s="77"/>
      <c r="M8" s="77"/>
      <c r="N8" s="77"/>
      <c r="O8" s="77"/>
      <c r="P8" s="77"/>
      <c r="Q8" s="77"/>
      <c r="R8" s="77"/>
      <c r="S8" s="77"/>
      <c r="T8" s="77"/>
      <c r="U8" s="77"/>
      <c r="V8" s="77"/>
    </row>
    <row r="9" spans="1:22">
      <c r="A9" s="77"/>
      <c r="B9" s="111" t="s">
        <v>300</v>
      </c>
      <c r="C9" s="111" t="s">
        <v>296</v>
      </c>
      <c r="D9" s="155">
        <v>2024</v>
      </c>
      <c r="E9" s="156">
        <v>2023</v>
      </c>
      <c r="F9" s="157">
        <v>2022</v>
      </c>
      <c r="G9" s="182">
        <v>2021</v>
      </c>
      <c r="H9" s="183">
        <v>2020</v>
      </c>
      <c r="I9" s="481" t="s">
        <v>301</v>
      </c>
      <c r="J9" s="481"/>
      <c r="K9" s="481"/>
      <c r="L9" s="482"/>
      <c r="M9" s="178"/>
      <c r="N9" s="178"/>
      <c r="P9" s="77"/>
      <c r="Q9" s="77"/>
      <c r="R9" s="77"/>
      <c r="S9" s="77"/>
      <c r="T9" s="77"/>
      <c r="U9" s="77"/>
      <c r="V9" s="77"/>
    </row>
    <row r="10" spans="1:22">
      <c r="A10" s="77"/>
      <c r="B10" s="114" t="s">
        <v>302</v>
      </c>
      <c r="C10" s="114" t="s">
        <v>303</v>
      </c>
      <c r="D10" s="184">
        <f>('Data Input Financial Statements'!D36-'Data Input Financial Statements'!D50)/'Data Input Financial Statements'!D42</f>
        <v>0.13879691031320315</v>
      </c>
      <c r="E10" s="184">
        <f>('Data Input Financial Statements'!E36-'Data Input Financial Statements'!E51)/'Data Input Financial Statements'!E42</f>
        <v>0.30040839890523435</v>
      </c>
      <c r="F10" s="184">
        <f>('Data Input Financial Statements'!F36-'Data Input Financial Statements'!F50)/'Data Input Financial Statements'!F42</f>
        <v>0.10449563685298484</v>
      </c>
      <c r="G10" s="184">
        <f>('Data Input Financial Statements'!G36-'Data Input Financial Statements'!G50)/'Data Input Financial Statements'!G42</f>
        <v>6.7369024757188492E-2</v>
      </c>
      <c r="H10" s="184">
        <f>('Data Input Financial Statements'!H36-'Data Input Financial Statements'!H50)/'Data Input Financial Statements'!H42</f>
        <v>4.1628266788706556E-2</v>
      </c>
      <c r="I10" s="494" t="s">
        <v>304</v>
      </c>
      <c r="J10" s="494"/>
      <c r="K10" s="494"/>
      <c r="L10" s="495"/>
      <c r="M10" s="179"/>
      <c r="N10" s="179"/>
      <c r="P10" s="77"/>
      <c r="Q10" s="77"/>
      <c r="R10" s="77"/>
      <c r="S10" s="77"/>
      <c r="T10" s="77"/>
      <c r="U10" s="77"/>
      <c r="V10" s="77"/>
    </row>
    <row r="11" spans="1:22">
      <c r="A11" s="77"/>
      <c r="B11" s="109" t="s">
        <v>305</v>
      </c>
      <c r="C11" s="109" t="s">
        <v>306</v>
      </c>
      <c r="D11" s="184">
        <f>'Data Input Financial Statements'!D53/'Data Input Financial Statements'!D42</f>
        <v>0.40980199070396583</v>
      </c>
      <c r="E11" s="184">
        <f>'Data Input Financial Statements'!E53/'Data Input Financial Statements'!E42</f>
        <v>0.35103455804238615</v>
      </c>
      <c r="F11" s="184">
        <f>'Data Input Financial Statements'!F53/'Data Input Financial Statements'!F42</f>
        <v>0.33143200011098622</v>
      </c>
      <c r="G11" s="184">
        <f>'Data Input Financial Statements'!G53/'Data Input Financial Statements'!G42</f>
        <v>0.29263052032662984</v>
      </c>
      <c r="H11" s="184">
        <f>'Data Input Financial Statements'!H53/'Data Input Financial Statements'!H42</f>
        <v>0.28207273269276389</v>
      </c>
      <c r="I11" s="180" t="s">
        <v>307</v>
      </c>
      <c r="J11" s="180"/>
      <c r="K11" s="180"/>
      <c r="L11" s="181"/>
      <c r="M11" s="179"/>
      <c r="N11" s="179"/>
      <c r="P11" s="77"/>
      <c r="Q11" s="77"/>
      <c r="R11" s="77"/>
      <c r="S11" s="77"/>
      <c r="T11" s="77"/>
      <c r="U11" s="77"/>
      <c r="V11" s="77"/>
    </row>
    <row r="12" spans="1:22">
      <c r="A12" s="77"/>
      <c r="B12" s="109" t="s">
        <v>308</v>
      </c>
      <c r="C12" s="109" t="s">
        <v>309</v>
      </c>
      <c r="D12" s="184">
        <f>'Data Input Financial Statements'!D13/'Data Input Financial Statements'!D42</f>
        <v>0.13121053722429979</v>
      </c>
      <c r="E12" s="184">
        <f>'Data Input Financial Statements'!E13/'Data Input Financial Statements'!E42</f>
        <v>0.11579836415362731</v>
      </c>
      <c r="F12" s="184">
        <f>'Data Input Financial Statements'!F13/'Data Input Financial Statements'!F42</f>
        <v>0.11089607524867857</v>
      </c>
      <c r="G12" s="184">
        <f>'Data Input Financial Statements'!G13/'Data Input Financial Statements'!G42</f>
        <v>8.6930420570009978E-2</v>
      </c>
      <c r="H12" s="184">
        <f>'Data Input Financial Statements'!H13/'Data Input Financial Statements'!H42</f>
        <v>9.7213795825312213E-2</v>
      </c>
      <c r="I12" s="492" t="s">
        <v>310</v>
      </c>
      <c r="J12" s="492"/>
      <c r="K12" s="492"/>
      <c r="L12" s="493"/>
      <c r="M12" s="179"/>
      <c r="N12" s="179"/>
      <c r="P12" s="77"/>
      <c r="Q12" s="77"/>
      <c r="R12" s="77"/>
      <c r="S12" s="77"/>
      <c r="T12" s="77"/>
      <c r="U12" s="77"/>
      <c r="V12" s="77"/>
    </row>
    <row r="13" spans="1:22">
      <c r="A13" s="77"/>
      <c r="B13" s="109" t="s">
        <v>311</v>
      </c>
      <c r="C13" s="109" t="s">
        <v>312</v>
      </c>
      <c r="D13" s="184">
        <f>'Data Input Financial Statements'!D75*'Data Input Financial Statements'!D77/'Data Input Financial Statements'!D52</f>
        <v>4.6448332683634996</v>
      </c>
      <c r="E13" s="184">
        <f>'Data Input Financial Statements'!E75*'Data Input Financial Statements'!E77/'Data Input Financial Statements'!E52</f>
        <v>2.3792991257496769</v>
      </c>
      <c r="F13" s="184">
        <f>'Data Input Financial Statements'!F75*'Data Input Financial Statements'!F77/'Data Input Financial Statements'!F52</f>
        <v>1.0401300656449692</v>
      </c>
      <c r="G13" s="184">
        <f>'Data Input Financial Statements'!G75*'Data Input Financial Statements'!G77/'Data Input Financial Statements'!G52</f>
        <v>0.8789429802852422</v>
      </c>
      <c r="H13" s="184">
        <f>'Data Input Financial Statements'!H75*'Data Input Financial Statements'!H77/'Data Input Financial Statements'!H52</f>
        <v>0.76715760309372549</v>
      </c>
      <c r="I13" s="492" t="s">
        <v>313</v>
      </c>
      <c r="J13" s="492"/>
      <c r="K13" s="492"/>
      <c r="L13" s="493"/>
      <c r="M13" s="179"/>
      <c r="N13" s="179"/>
      <c r="P13" s="77"/>
      <c r="Q13" s="77"/>
      <c r="R13" s="77"/>
      <c r="S13" s="77"/>
      <c r="T13" s="77"/>
      <c r="U13" s="77"/>
      <c r="V13" s="77"/>
    </row>
    <row r="14" spans="1:22">
      <c r="A14" s="77"/>
      <c r="B14" s="115" t="s">
        <v>314</v>
      </c>
      <c r="C14" s="115" t="s">
        <v>315</v>
      </c>
      <c r="D14" s="184">
        <f>'Data Input Financial Statements'!D6/'Data Input Financial Statements'!D42</f>
        <v>1.0490793713127995</v>
      </c>
      <c r="E14" s="184">
        <f>'Data Input Financial Statements'!E6/'Data Input Financial Statements'!E42</f>
        <v>1.1097494688225868</v>
      </c>
      <c r="F14" s="184">
        <f>'Data Input Financial Statements'!F6/'Data Input Financial Statements'!F42</f>
        <v>1.227394181545761</v>
      </c>
      <c r="G14" s="184">
        <f>'Data Input Financial Statements'!G6/'Data Input Financial Statements'!G42</f>
        <v>1.1489671777974908</v>
      </c>
      <c r="H14" s="184">
        <f>'Data Input Financial Statements'!H6/'Data Input Financial Statements'!H42</f>
        <v>1.2876516489030057</v>
      </c>
      <c r="I14" s="487" t="s">
        <v>316</v>
      </c>
      <c r="J14" s="487"/>
      <c r="K14" s="487"/>
      <c r="L14" s="488"/>
      <c r="M14" s="179"/>
      <c r="N14" s="179"/>
      <c r="P14" s="77"/>
      <c r="Q14" s="77"/>
      <c r="R14" s="77"/>
      <c r="S14" s="77"/>
      <c r="T14" s="77"/>
      <c r="U14" s="77"/>
      <c r="V14" s="77"/>
    </row>
    <row r="15" spans="1:22">
      <c r="A15" s="77"/>
      <c r="B15" s="77"/>
      <c r="C15" s="77"/>
      <c r="D15" s="77"/>
      <c r="E15" s="77"/>
      <c r="F15" s="77"/>
      <c r="G15" s="77"/>
      <c r="H15" s="77"/>
      <c r="I15" s="77"/>
      <c r="J15" s="77"/>
      <c r="K15" s="77"/>
      <c r="L15" s="77"/>
      <c r="M15" s="77"/>
      <c r="N15" s="77"/>
      <c r="O15" s="77"/>
      <c r="P15" s="77"/>
      <c r="Q15" s="77"/>
      <c r="R15" s="77"/>
      <c r="S15" s="77"/>
      <c r="T15" s="77"/>
      <c r="U15" s="77"/>
      <c r="V15" s="77"/>
    </row>
    <row r="16" spans="1:22">
      <c r="A16" s="77"/>
      <c r="B16" s="77"/>
      <c r="C16" s="77"/>
      <c r="D16" s="77"/>
      <c r="E16" s="77"/>
      <c r="F16" s="77"/>
      <c r="G16" s="77"/>
      <c r="H16" s="77"/>
      <c r="I16" s="77"/>
      <c r="J16" s="77"/>
      <c r="K16" s="77"/>
      <c r="L16" s="77"/>
      <c r="M16" s="77"/>
      <c r="N16" s="77"/>
      <c r="O16" s="77"/>
      <c r="P16" s="77"/>
      <c r="Q16" s="77"/>
      <c r="R16" s="77"/>
      <c r="S16" s="77"/>
      <c r="T16" s="77"/>
      <c r="U16" s="77"/>
      <c r="V16" s="77"/>
    </row>
    <row r="17" spans="1:22">
      <c r="A17" s="118"/>
      <c r="B17" s="117" t="s">
        <v>317</v>
      </c>
      <c r="C17" s="77"/>
      <c r="D17" s="77"/>
      <c r="E17" s="77"/>
      <c r="F17" s="77"/>
      <c r="G17" s="77"/>
      <c r="H17" s="77"/>
      <c r="I17" s="77"/>
      <c r="J17" s="77"/>
      <c r="K17" s="77"/>
      <c r="L17" s="77"/>
      <c r="M17" s="77"/>
      <c r="N17" s="77"/>
      <c r="O17" s="77"/>
      <c r="P17" s="77"/>
      <c r="Q17" s="77"/>
      <c r="R17" s="77"/>
      <c r="S17" s="77"/>
      <c r="T17" s="77"/>
      <c r="U17" s="77"/>
      <c r="V17" s="77"/>
    </row>
    <row r="18" spans="1:22">
      <c r="A18" s="77"/>
      <c r="B18" s="77"/>
      <c r="C18" s="77"/>
      <c r="D18" s="77"/>
      <c r="E18" s="77"/>
      <c r="F18" s="77"/>
      <c r="G18" s="77"/>
      <c r="H18" s="77"/>
      <c r="I18" s="77"/>
      <c r="J18" s="77"/>
      <c r="K18" s="77"/>
      <c r="L18" s="77"/>
      <c r="M18" s="77"/>
      <c r="N18" s="77"/>
      <c r="O18" s="77"/>
      <c r="P18" s="77"/>
      <c r="Q18" s="77"/>
      <c r="R18" s="77"/>
      <c r="S18" s="77"/>
      <c r="T18" s="77"/>
      <c r="U18" s="77"/>
      <c r="V18" s="77"/>
    </row>
    <row r="19" spans="1:22">
      <c r="A19" s="77"/>
      <c r="B19" s="77"/>
      <c r="C19" s="116" t="s">
        <v>318</v>
      </c>
      <c r="D19" s="155">
        <v>2024</v>
      </c>
      <c r="E19" s="156">
        <v>2023</v>
      </c>
      <c r="F19" s="172">
        <v>2022</v>
      </c>
      <c r="G19" s="174">
        <v>2021</v>
      </c>
      <c r="H19" s="176">
        <v>2020</v>
      </c>
      <c r="I19" s="77"/>
      <c r="J19" s="77"/>
      <c r="K19" s="77"/>
      <c r="L19" s="77"/>
      <c r="M19" s="77"/>
      <c r="N19" s="77"/>
      <c r="O19" s="77"/>
      <c r="P19" s="77"/>
      <c r="Q19" s="77"/>
      <c r="R19" s="77"/>
      <c r="S19" s="77"/>
      <c r="T19" s="77"/>
      <c r="U19" s="77"/>
      <c r="V19" s="77"/>
    </row>
    <row r="20" spans="1:22">
      <c r="A20" s="77"/>
      <c r="B20" s="77"/>
      <c r="C20" s="161"/>
      <c r="D20" s="483"/>
      <c r="E20" s="484"/>
      <c r="F20" s="484"/>
      <c r="G20" s="484"/>
      <c r="H20" s="486"/>
      <c r="I20" s="77"/>
      <c r="J20" s="77"/>
      <c r="K20" s="77"/>
      <c r="L20" s="77"/>
      <c r="M20" s="77"/>
      <c r="N20" s="77"/>
      <c r="O20" s="77"/>
      <c r="P20" s="77"/>
      <c r="Q20" s="77"/>
      <c r="R20" s="77"/>
      <c r="S20" s="77"/>
      <c r="T20" s="77"/>
      <c r="U20" s="77"/>
      <c r="V20" s="77"/>
    </row>
    <row r="21" spans="1:22">
      <c r="A21" s="77"/>
      <c r="B21" s="77"/>
      <c r="C21" s="107" t="s">
        <v>319</v>
      </c>
      <c r="D21" s="123">
        <f>'Data Input Financial Statements'!D21/'Data Input Financial Statements'!D6</f>
        <v>0.12168747246846989</v>
      </c>
      <c r="E21" s="123">
        <f>'Data Input Financial Statements'!E21/'Data Input Financial Statements'!E6</f>
        <v>7.030370205488308E-2</v>
      </c>
      <c r="F21" s="123">
        <f>'Data Input Financial Statements'!F21/'Data Input Financial Statements'!F6</f>
        <v>5.4659789899154307E-2</v>
      </c>
      <c r="G21" s="123">
        <f>'Data Input Financial Statements'!G21/'Data Input Financial Statements'!G6</f>
        <v>4.3451732002992134E-2</v>
      </c>
      <c r="H21" s="123">
        <f>'Data Input Financial Statements'!H21/'Data Input Financial Statements'!H6</f>
        <v>3.5152575366541185E-2</v>
      </c>
      <c r="I21" s="77"/>
      <c r="J21" s="77"/>
      <c r="K21" s="77"/>
      <c r="L21" s="77"/>
      <c r="M21" s="77"/>
      <c r="N21" s="77"/>
      <c r="O21" s="77"/>
      <c r="P21" s="77"/>
      <c r="Q21" s="77"/>
      <c r="R21" s="77"/>
      <c r="S21" s="77"/>
      <c r="T21" s="77"/>
      <c r="U21" s="77"/>
      <c r="V21" s="77"/>
    </row>
    <row r="22" spans="1:22">
      <c r="A22" s="77"/>
      <c r="B22" s="77"/>
      <c r="C22" s="107" t="s">
        <v>320</v>
      </c>
      <c r="D22" s="112">
        <f>'Data Input Financial Statements'!D6/'Data Input Financial Statements'!D42</f>
        <v>1.0490793713127995</v>
      </c>
      <c r="E22" s="112">
        <f>'Data Input Financial Statements'!E6/'Data Input Financial Statements'!E42</f>
        <v>1.1097494688225868</v>
      </c>
      <c r="F22" s="112">
        <f>'Data Input Financial Statements'!F6/'Data Input Financial Statements'!F42</f>
        <v>1.227394181545761</v>
      </c>
      <c r="G22" s="112">
        <f>'Data Input Financial Statements'!G6/'Data Input Financial Statements'!G42</f>
        <v>1.1489671777974908</v>
      </c>
      <c r="H22" s="112">
        <f>'Data Input Financial Statements'!H6/'Data Input Financial Statements'!H42</f>
        <v>1.2876516489030057</v>
      </c>
      <c r="I22" s="77"/>
      <c r="J22" s="77"/>
      <c r="K22" s="77"/>
      <c r="L22" s="77"/>
      <c r="M22" s="77"/>
      <c r="N22" s="77"/>
      <c r="O22" s="77"/>
      <c r="P22" s="77"/>
      <c r="Q22" s="77"/>
      <c r="R22" s="77"/>
      <c r="S22" s="77"/>
      <c r="T22" s="77"/>
      <c r="U22" s="77"/>
      <c r="V22" s="77"/>
    </row>
    <row r="23" spans="1:22">
      <c r="A23" s="77"/>
      <c r="B23" s="77"/>
      <c r="C23" s="107" t="s">
        <v>321</v>
      </c>
      <c r="D23" s="112">
        <f>'Data Input Financial Statements'!D42/'Data Input Financial Statements'!D53</f>
        <v>2.4402028850132731</v>
      </c>
      <c r="E23" s="112">
        <f>'Data Input Financial Statements'!E42/'Data Input Financial Statements'!E53</f>
        <v>2.8487223753031565</v>
      </c>
      <c r="F23" s="112">
        <f>'Data Input Financial Statements'!F42/'Data Input Financial Statements'!F53</f>
        <v>3.0172101657810084</v>
      </c>
      <c r="G23" s="112">
        <f>'Data Input Financial Statements'!G42/'Data Input Financial Statements'!G53</f>
        <v>3.4172785493591542</v>
      </c>
      <c r="H23" s="112">
        <f>'Data Input Financial Statements'!H42/'Data Input Financial Statements'!H53</f>
        <v>3.5451849260779449</v>
      </c>
      <c r="I23" s="77"/>
      <c r="J23" s="77"/>
      <c r="K23" s="77"/>
      <c r="L23" s="77"/>
      <c r="M23" s="77"/>
      <c r="N23" s="77"/>
      <c r="O23" s="77"/>
      <c r="P23" s="77"/>
      <c r="Q23" s="77"/>
      <c r="R23" s="77"/>
      <c r="S23" s="77"/>
      <c r="T23" s="77"/>
      <c r="U23" s="77"/>
      <c r="V23" s="77"/>
    </row>
    <row r="24" spans="1:22">
      <c r="A24" s="77"/>
      <c r="B24" s="77"/>
      <c r="C24" s="116" t="s">
        <v>322</v>
      </c>
      <c r="D24" s="113">
        <f>D21*D22*D23</f>
        <v>0.3115158540215226</v>
      </c>
      <c r="E24" s="113">
        <f>E21*E22*E23</f>
        <v>0.22225588399831375</v>
      </c>
      <c r="F24" s="113">
        <f>F21*F22*F23</f>
        <v>0.20242193893247998</v>
      </c>
      <c r="G24" s="113">
        <f t="shared" ref="G24:H24" si="1">G21*G22*G23</f>
        <v>0.17060631213096186</v>
      </c>
      <c r="H24" s="113">
        <f t="shared" si="1"/>
        <v>0.16047021348644919</v>
      </c>
      <c r="I24" s="77"/>
      <c r="J24" s="77"/>
      <c r="K24" s="77"/>
      <c r="L24" s="77"/>
      <c r="M24" s="77"/>
      <c r="N24" s="77"/>
      <c r="O24" s="77"/>
      <c r="P24" s="77"/>
      <c r="Q24" s="77"/>
      <c r="R24" s="77"/>
      <c r="S24" s="77"/>
      <c r="T24" s="77"/>
      <c r="U24" s="77"/>
      <c r="V24" s="77"/>
    </row>
    <row r="25" spans="1:22">
      <c r="A25" s="77"/>
      <c r="B25" s="77"/>
      <c r="C25" s="77"/>
      <c r="D25" s="77"/>
      <c r="E25" s="77"/>
      <c r="F25" s="77"/>
      <c r="G25" s="77"/>
      <c r="H25" s="77"/>
      <c r="I25" s="77"/>
      <c r="J25" s="77"/>
      <c r="K25" s="77"/>
      <c r="L25" s="77"/>
      <c r="M25" s="77"/>
      <c r="N25" s="77"/>
      <c r="O25" s="77"/>
      <c r="P25" s="77"/>
      <c r="Q25" s="77"/>
      <c r="R25" s="77"/>
      <c r="S25" s="77"/>
      <c r="T25" s="77"/>
      <c r="U25" s="77"/>
      <c r="V25" s="77"/>
    </row>
    <row r="26" spans="1:22">
      <c r="A26" s="77"/>
      <c r="B26" s="77"/>
      <c r="I26" s="77"/>
      <c r="J26" s="77"/>
      <c r="K26" s="77"/>
      <c r="L26" s="77"/>
      <c r="M26" s="77"/>
      <c r="N26" s="77"/>
      <c r="O26" s="77"/>
      <c r="P26" s="77"/>
      <c r="Q26" s="77"/>
      <c r="R26" s="77"/>
      <c r="S26" s="77"/>
      <c r="T26" s="77"/>
      <c r="U26" s="77"/>
      <c r="V26" s="77"/>
    </row>
    <row r="27" spans="1:22">
      <c r="A27" s="77"/>
      <c r="B27" s="77"/>
      <c r="C27" s="116" t="s">
        <v>323</v>
      </c>
      <c r="D27" s="102">
        <v>2024</v>
      </c>
      <c r="E27" s="103">
        <v>2023</v>
      </c>
      <c r="F27" s="104">
        <v>2022</v>
      </c>
      <c r="G27" s="174">
        <v>2021</v>
      </c>
      <c r="H27" s="176">
        <v>2020</v>
      </c>
      <c r="I27" s="77"/>
      <c r="J27" s="77"/>
      <c r="K27" s="77"/>
      <c r="L27" s="77"/>
      <c r="M27" s="77"/>
      <c r="N27" s="77"/>
      <c r="O27" s="77"/>
      <c r="P27" s="77"/>
      <c r="Q27" s="77"/>
      <c r="R27" s="77"/>
      <c r="S27" s="77"/>
      <c r="T27" s="77"/>
      <c r="U27" s="77"/>
      <c r="V27" s="77"/>
    </row>
    <row r="28" spans="1:22">
      <c r="A28" s="77"/>
      <c r="B28" s="77"/>
      <c r="C28" s="107" t="s">
        <v>324</v>
      </c>
      <c r="D28" s="112">
        <f>'Data Input Financial Statements'!D21/'Data Input Financial Statements'!D17</f>
        <v>0.71860678020978119</v>
      </c>
      <c r="E28" s="112">
        <f>'Data Input Financial Statements'!E21/'Data Input Financial Statements'!E17</f>
        <v>0.72740865094562335</v>
      </c>
      <c r="F28" s="112">
        <f>'Data Input Financial Statements'!F21/'Data Input Financial Statements'!F17</f>
        <v>0.69002739647841105</v>
      </c>
      <c r="G28" s="112">
        <f>'Data Input Financial Statements'!G21/'Data Input Financial Statements'!G17</f>
        <v>0.69201319686067853</v>
      </c>
      <c r="H28" s="112">
        <f>'Data Input Financial Statements'!H21/'Data Input Financial Statements'!H17</f>
        <v>0.68307170803567185</v>
      </c>
      <c r="I28" s="77"/>
      <c r="J28" s="77"/>
      <c r="K28" s="77"/>
      <c r="L28" s="77"/>
      <c r="M28" s="77"/>
      <c r="N28" s="77"/>
      <c r="O28" s="77"/>
      <c r="P28" s="77"/>
      <c r="Q28" s="77"/>
      <c r="R28" s="77"/>
      <c r="S28" s="77"/>
      <c r="T28" s="77"/>
      <c r="U28" s="77"/>
      <c r="V28" s="77"/>
    </row>
    <row r="29" spans="1:22">
      <c r="A29" s="77"/>
      <c r="B29" s="77"/>
      <c r="C29" s="107" t="s">
        <v>325</v>
      </c>
      <c r="D29" s="112">
        <f>'Data Input Financial Statements'!D17/'Data Input Financial Statements'!D13</f>
        <v>1.3539237100467838</v>
      </c>
      <c r="E29" s="112">
        <f>'Data Input Financial Statements'!E17/'Data Input Financial Statements'!E13</f>
        <v>0.92623727495808938</v>
      </c>
      <c r="F29" s="112">
        <f>'Data Input Financial Statements'!F17/'Data Input Financial Statements'!F13</f>
        <v>0.87673734909614065</v>
      </c>
      <c r="G29" s="112">
        <f>'Data Input Financial Statements'!G17/'Data Input Financial Statements'!G13</f>
        <v>0.82990533683453105</v>
      </c>
      <c r="H29" s="112">
        <f>'Data Input Financial Statements'!H17/'Data Input Financial Statements'!H13</f>
        <v>0.68164984073854129</v>
      </c>
      <c r="I29" s="77"/>
      <c r="J29" s="77"/>
      <c r="K29" s="77"/>
      <c r="L29" s="77"/>
      <c r="M29" s="77"/>
      <c r="N29" s="77"/>
      <c r="O29" s="77"/>
      <c r="P29" s="77"/>
      <c r="Q29" s="77"/>
      <c r="R29" s="77"/>
      <c r="S29" s="77"/>
      <c r="T29" s="77"/>
      <c r="U29" s="77"/>
      <c r="V29" s="77"/>
    </row>
    <row r="30" spans="1:22">
      <c r="A30" s="77"/>
      <c r="B30" s="77"/>
      <c r="C30" s="107" t="s">
        <v>326</v>
      </c>
      <c r="D30" s="112">
        <f>'Data Input Financial Statements'!D13/'Data Input Financial Statements'!D6</f>
        <v>0.1250720782547704</v>
      </c>
      <c r="E30" s="112">
        <f>'Data Input Financial Statements'!E13/'Data Input Financial Statements'!E6</f>
        <v>0.10434640196447775</v>
      </c>
      <c r="F30" s="112">
        <f>'Data Input Financial Statements'!F13/'Data Input Financial Statements'!F6</f>
        <v>9.0350823652282419E-2</v>
      </c>
      <c r="G30" s="112">
        <f>'Data Input Financial Statements'!G13/'Data Input Financial Statements'!G6</f>
        <v>7.5659620439855371E-2</v>
      </c>
      <c r="H30" s="112">
        <f>'Data Input Financial Statements'!H13/'Data Input Financial Statements'!H6</f>
        <v>7.5496968382816873E-2</v>
      </c>
      <c r="I30" s="77"/>
      <c r="J30" s="77"/>
      <c r="K30" s="77"/>
      <c r="L30" s="77"/>
      <c r="M30" s="77"/>
      <c r="N30" s="77"/>
      <c r="O30" s="77"/>
      <c r="P30" s="77"/>
      <c r="Q30" s="77"/>
      <c r="R30" s="77"/>
      <c r="S30" s="77"/>
      <c r="T30" s="77"/>
      <c r="U30" s="77"/>
      <c r="V30" s="77"/>
    </row>
    <row r="31" spans="1:22">
      <c r="A31" s="77"/>
      <c r="B31" s="77"/>
      <c r="C31" s="105" t="s">
        <v>320</v>
      </c>
      <c r="D31" s="123">
        <f>'Data Input Financial Statements'!D6/'Data Input Financial Statements'!D42</f>
        <v>1.0490793713127995</v>
      </c>
      <c r="E31" s="123">
        <f>'Data Input Financial Statements'!E6/'Data Input Financial Statements'!E42</f>
        <v>1.1097494688225868</v>
      </c>
      <c r="F31" s="123">
        <f>'Data Input Financial Statements'!F6/'Data Input Financial Statements'!F42</f>
        <v>1.227394181545761</v>
      </c>
      <c r="G31" s="123">
        <f>'Data Input Financial Statements'!G6/'Data Input Financial Statements'!G42</f>
        <v>1.1489671777974908</v>
      </c>
      <c r="H31" s="123">
        <f>'Data Input Financial Statements'!H6/'Data Input Financial Statements'!H42</f>
        <v>1.2876516489030057</v>
      </c>
      <c r="I31" s="77"/>
      <c r="J31" s="77"/>
      <c r="K31" s="77"/>
      <c r="L31" s="77"/>
      <c r="M31" s="77"/>
      <c r="N31" s="77"/>
      <c r="O31" s="77"/>
      <c r="P31" s="77"/>
      <c r="Q31" s="77"/>
      <c r="R31" s="77"/>
      <c r="S31" s="77"/>
      <c r="T31" s="77"/>
      <c r="U31" s="77"/>
      <c r="V31" s="77"/>
    </row>
    <row r="32" spans="1:22">
      <c r="A32" s="77"/>
      <c r="B32" s="77"/>
      <c r="C32" s="108" t="s">
        <v>321</v>
      </c>
      <c r="D32" s="142">
        <f>'Data Input Financial Statements'!D42/'Data Input Financial Statements'!D53</f>
        <v>2.4402028850132731</v>
      </c>
      <c r="E32" s="142">
        <f>'Data Input Financial Statements'!E42/'Data Input Financial Statements'!E53</f>
        <v>2.8487223753031565</v>
      </c>
      <c r="F32" s="142">
        <f>'Data Input Financial Statements'!F42/'Data Input Financial Statements'!F53</f>
        <v>3.0172101657810084</v>
      </c>
      <c r="G32" s="142">
        <f>'Data Input Financial Statements'!G42/'Data Input Financial Statements'!G53</f>
        <v>3.4172785493591542</v>
      </c>
      <c r="H32" s="142">
        <f>'Data Input Financial Statements'!H42/'Data Input Financial Statements'!H53</f>
        <v>3.5451849260779449</v>
      </c>
      <c r="I32" s="77"/>
      <c r="J32" s="77"/>
      <c r="K32" s="77"/>
      <c r="L32" s="77"/>
      <c r="M32" s="77"/>
      <c r="N32" s="77"/>
      <c r="O32" s="77"/>
      <c r="P32" s="77"/>
      <c r="Q32" s="77"/>
      <c r="R32" s="77"/>
      <c r="S32" s="77"/>
      <c r="T32" s="77"/>
      <c r="U32" s="77"/>
      <c r="V32" s="77"/>
    </row>
    <row r="33" spans="1:22">
      <c r="A33" s="77"/>
      <c r="B33" s="77"/>
      <c r="C33" s="116" t="s">
        <v>327</v>
      </c>
      <c r="D33" s="113">
        <f>D28*D29*D30*D31*D32</f>
        <v>0.31151585402152265</v>
      </c>
      <c r="E33" s="113">
        <f>E28*E29*E30*E31*E32</f>
        <v>0.22225588399831375</v>
      </c>
      <c r="F33" s="113">
        <f>F28*F29*F30*F31*F32</f>
        <v>0.20242193893248001</v>
      </c>
      <c r="G33" s="113">
        <f t="shared" ref="G33:H33" si="2">G28*G29*G30*G31*G32</f>
        <v>0.17060631213096186</v>
      </c>
      <c r="H33" s="113">
        <f t="shared" si="2"/>
        <v>0.16047021348644919</v>
      </c>
      <c r="I33" s="77"/>
      <c r="J33" s="77"/>
      <c r="K33" s="77"/>
      <c r="L33" s="77"/>
      <c r="M33" s="77"/>
      <c r="N33" s="77"/>
      <c r="O33" s="77"/>
      <c r="P33" s="77"/>
      <c r="Q33" s="77"/>
      <c r="R33" s="77"/>
      <c r="S33" s="77"/>
      <c r="T33" s="77"/>
      <c r="U33" s="77"/>
      <c r="V33" s="77"/>
    </row>
    <row r="34" spans="1:22">
      <c r="A34" s="77"/>
      <c r="B34" s="77"/>
      <c r="C34" s="77"/>
      <c r="D34" s="77"/>
      <c r="E34" s="77"/>
      <c r="F34" s="77"/>
      <c r="G34" s="77"/>
      <c r="H34" s="77"/>
      <c r="I34" s="77"/>
      <c r="J34" s="77"/>
      <c r="K34" s="77"/>
      <c r="L34" s="77"/>
      <c r="M34" s="77"/>
      <c r="N34" s="77"/>
      <c r="O34" s="77"/>
      <c r="P34" s="77"/>
      <c r="Q34" s="77"/>
      <c r="R34" s="77"/>
      <c r="S34" s="77"/>
      <c r="T34" s="77"/>
      <c r="U34" s="77"/>
      <c r="V34" s="77"/>
    </row>
    <row r="35" spans="1:22">
      <c r="A35" s="77"/>
      <c r="B35" s="77"/>
      <c r="C35" s="78"/>
      <c r="D35" s="77"/>
      <c r="E35" s="77"/>
      <c r="F35" s="77"/>
      <c r="G35" s="77"/>
      <c r="H35" s="77"/>
      <c r="I35" s="77"/>
      <c r="J35" s="77"/>
      <c r="K35" s="77"/>
      <c r="L35" s="77"/>
      <c r="M35" s="77"/>
      <c r="N35" s="77"/>
      <c r="O35" s="77"/>
      <c r="P35" s="77"/>
      <c r="Q35" s="77"/>
      <c r="R35" s="77"/>
      <c r="S35" s="77"/>
      <c r="T35" s="77"/>
      <c r="U35" s="77"/>
      <c r="V35" s="77"/>
    </row>
    <row r="36" spans="1:22">
      <c r="A36" s="77"/>
      <c r="B36" s="77"/>
      <c r="C36" s="116" t="s">
        <v>328</v>
      </c>
      <c r="D36" s="116" t="s">
        <v>327</v>
      </c>
      <c r="E36" s="489" t="s">
        <v>153</v>
      </c>
      <c r="F36" s="489"/>
      <c r="G36" s="489"/>
      <c r="H36" s="489"/>
      <c r="I36" s="489"/>
      <c r="J36" s="489"/>
      <c r="K36" s="489"/>
      <c r="L36" s="489"/>
      <c r="M36" s="489"/>
      <c r="N36" s="489"/>
      <c r="O36" s="489"/>
      <c r="P36" s="489"/>
      <c r="Q36" s="489"/>
      <c r="R36" s="489"/>
      <c r="S36" s="489"/>
      <c r="T36" s="489"/>
      <c r="U36" s="489"/>
      <c r="V36" s="77"/>
    </row>
    <row r="37" spans="1:22">
      <c r="A37" s="77"/>
      <c r="B37" s="77"/>
      <c r="C37" s="257">
        <v>2020</v>
      </c>
      <c r="D37" s="258">
        <v>0.16</v>
      </c>
      <c r="E37" s="496" t="s">
        <v>329</v>
      </c>
      <c r="F37" s="497"/>
      <c r="G37" s="497"/>
      <c r="H37" s="497"/>
      <c r="I37" s="497"/>
      <c r="J37" s="497"/>
      <c r="K37" s="497"/>
      <c r="L37" s="497"/>
      <c r="M37" s="497"/>
      <c r="N37" s="497"/>
      <c r="O37" s="497"/>
      <c r="P37" s="497"/>
      <c r="Q37" s="497"/>
      <c r="R37" s="497"/>
      <c r="S37" s="497"/>
      <c r="T37" s="497"/>
      <c r="U37" s="498"/>
      <c r="V37" s="77"/>
    </row>
    <row r="38" spans="1:22">
      <c r="A38" s="77"/>
      <c r="B38" s="77"/>
      <c r="C38" s="257">
        <v>2021</v>
      </c>
      <c r="D38" s="258">
        <v>0.17</v>
      </c>
      <c r="E38" s="496" t="s">
        <v>330</v>
      </c>
      <c r="F38" s="497"/>
      <c r="G38" s="497"/>
      <c r="H38" s="497"/>
      <c r="I38" s="497"/>
      <c r="J38" s="497"/>
      <c r="K38" s="497"/>
      <c r="L38" s="497"/>
      <c r="M38" s="497"/>
      <c r="N38" s="497"/>
      <c r="O38" s="497"/>
      <c r="P38" s="497"/>
      <c r="Q38" s="497"/>
      <c r="R38" s="497"/>
      <c r="S38" s="497"/>
      <c r="T38" s="497"/>
      <c r="U38" s="498"/>
      <c r="V38" s="77"/>
    </row>
    <row r="39" spans="1:22">
      <c r="A39" s="77"/>
      <c r="B39" s="77"/>
      <c r="C39" s="255">
        <v>2022</v>
      </c>
      <c r="D39" s="256">
        <v>0.2</v>
      </c>
      <c r="E39" s="487" t="s">
        <v>331</v>
      </c>
      <c r="F39" s="487"/>
      <c r="G39" s="487"/>
      <c r="H39" s="487"/>
      <c r="I39" s="487"/>
      <c r="J39" s="487"/>
      <c r="K39" s="487"/>
      <c r="L39" s="487"/>
      <c r="M39" s="487"/>
      <c r="N39" s="487"/>
      <c r="O39" s="487"/>
      <c r="P39" s="487"/>
      <c r="Q39" s="487"/>
      <c r="R39" s="487"/>
      <c r="S39" s="487"/>
      <c r="T39" s="487"/>
      <c r="U39" s="488"/>
      <c r="V39" s="77"/>
    </row>
    <row r="40" spans="1:22">
      <c r="A40" s="77"/>
      <c r="B40" s="77"/>
      <c r="C40" s="120">
        <v>2023</v>
      </c>
      <c r="D40" s="150">
        <v>0.22</v>
      </c>
      <c r="E40" s="253" t="s">
        <v>332</v>
      </c>
      <c r="F40" s="253"/>
      <c r="G40" s="253"/>
      <c r="H40" s="253"/>
      <c r="I40" s="253"/>
      <c r="J40" s="253"/>
      <c r="K40" s="253"/>
      <c r="L40" s="253"/>
      <c r="M40" s="253"/>
      <c r="N40" s="253"/>
      <c r="O40" s="253"/>
      <c r="P40" s="253"/>
      <c r="Q40" s="253"/>
      <c r="R40" s="253"/>
      <c r="S40" s="253"/>
      <c r="T40" s="253"/>
      <c r="U40" s="254"/>
      <c r="V40" s="77"/>
    </row>
    <row r="41" spans="1:22">
      <c r="A41" s="77"/>
      <c r="B41" s="77"/>
      <c r="C41" s="120">
        <v>2024</v>
      </c>
      <c r="D41" s="150">
        <v>0.31</v>
      </c>
      <c r="E41" s="478" t="s">
        <v>333</v>
      </c>
      <c r="F41" s="479"/>
      <c r="G41" s="479"/>
      <c r="H41" s="479"/>
      <c r="I41" s="479"/>
      <c r="J41" s="479"/>
      <c r="K41" s="479"/>
      <c r="L41" s="479"/>
      <c r="M41" s="479"/>
      <c r="N41" s="479"/>
      <c r="O41" s="479"/>
      <c r="P41" s="479"/>
      <c r="Q41" s="479"/>
      <c r="R41" s="479"/>
      <c r="S41" s="479"/>
      <c r="T41" s="479"/>
      <c r="U41" s="480"/>
      <c r="V41" s="77"/>
    </row>
    <row r="42" spans="1:22">
      <c r="A42" s="77"/>
      <c r="B42" s="77"/>
      <c r="C42" s="77"/>
      <c r="D42" s="77"/>
      <c r="E42" s="77"/>
      <c r="F42" s="77"/>
      <c r="G42" s="77"/>
      <c r="H42" s="77"/>
      <c r="I42" s="77"/>
      <c r="J42" s="77"/>
      <c r="K42" s="77"/>
      <c r="L42" s="77"/>
      <c r="M42" s="77"/>
      <c r="N42" s="77"/>
      <c r="O42" s="77"/>
      <c r="P42" s="77"/>
      <c r="Q42" s="77"/>
      <c r="R42" s="77"/>
      <c r="S42" s="77"/>
      <c r="T42" s="77"/>
      <c r="U42" s="77"/>
      <c r="V42" s="77"/>
    </row>
    <row r="43" spans="1:22">
      <c r="A43" s="77"/>
      <c r="B43" s="77"/>
      <c r="C43" s="77"/>
      <c r="D43" s="77"/>
      <c r="E43" s="77"/>
      <c r="F43" s="77"/>
      <c r="G43" s="77"/>
      <c r="H43" s="77"/>
      <c r="I43" s="77"/>
      <c r="J43" s="77"/>
      <c r="K43" s="77"/>
      <c r="L43" s="77"/>
      <c r="M43" s="77"/>
      <c r="N43" s="77"/>
      <c r="O43" s="77"/>
      <c r="P43" s="77"/>
      <c r="Q43" s="77"/>
      <c r="R43" s="77"/>
      <c r="S43" s="77"/>
      <c r="T43" s="77"/>
      <c r="U43" s="77"/>
      <c r="V43" s="77"/>
    </row>
    <row r="44" spans="1:22">
      <c r="A44" s="77"/>
      <c r="B44" s="77"/>
      <c r="C44" s="77"/>
      <c r="D44" s="77"/>
      <c r="E44" s="77"/>
      <c r="F44" s="77"/>
      <c r="G44" s="77"/>
      <c r="H44" s="77"/>
      <c r="I44" s="77"/>
      <c r="J44" s="77"/>
      <c r="K44" s="77"/>
      <c r="L44" s="77"/>
      <c r="M44" s="77"/>
      <c r="N44" s="77"/>
      <c r="O44" s="77"/>
      <c r="P44" s="77"/>
      <c r="Q44" s="77"/>
      <c r="R44" s="77"/>
      <c r="S44" s="77"/>
      <c r="T44" s="77"/>
      <c r="U44" s="77"/>
      <c r="V44" s="77"/>
    </row>
  </sheetData>
  <mergeCells count="15">
    <mergeCell ref="E41:U41"/>
    <mergeCell ref="I5:N5"/>
    <mergeCell ref="D20:F20"/>
    <mergeCell ref="A1:B1"/>
    <mergeCell ref="G20:H20"/>
    <mergeCell ref="E39:U39"/>
    <mergeCell ref="E36:U36"/>
    <mergeCell ref="I6:N6"/>
    <mergeCell ref="I12:L12"/>
    <mergeCell ref="I13:L13"/>
    <mergeCell ref="I14:L14"/>
    <mergeCell ref="I10:L10"/>
    <mergeCell ref="I9:L9"/>
    <mergeCell ref="E37:U37"/>
    <mergeCell ref="E38:U38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BDEDC91-29AA-438E-AF0E-7A6B52CB4649}">
  <sheetPr>
    <tabColor theme="8" tint="0.79998168889431442"/>
  </sheetPr>
  <dimension ref="A1:G61"/>
  <sheetViews>
    <sheetView topLeftCell="A42" workbookViewId="0">
      <selection activeCell="G41" sqref="G41"/>
    </sheetView>
  </sheetViews>
  <sheetFormatPr defaultRowHeight="15"/>
  <cols>
    <col min="1" max="1" width="36.7109375" customWidth="1"/>
    <col min="2" max="6" width="20.7109375" customWidth="1"/>
    <col min="7" max="7" width="40.140625" customWidth="1"/>
  </cols>
  <sheetData>
    <row r="1" spans="1:7" ht="17.25">
      <c r="A1" s="381" t="s">
        <v>131</v>
      </c>
    </row>
    <row r="2" spans="1:7">
      <c r="A2" s="387"/>
      <c r="B2" s="388">
        <v>2020</v>
      </c>
      <c r="C2" s="388">
        <v>2021</v>
      </c>
      <c r="D2" s="388">
        <v>2022</v>
      </c>
      <c r="E2" s="388">
        <v>2023</v>
      </c>
      <c r="F2" s="388">
        <v>2024</v>
      </c>
      <c r="G2" s="388" t="s">
        <v>334</v>
      </c>
    </row>
    <row r="3" spans="1:7">
      <c r="A3" s="385" t="s">
        <v>335</v>
      </c>
      <c r="B3" s="386">
        <v>1.1200000000000001</v>
      </c>
      <c r="C3" s="386">
        <v>1.24</v>
      </c>
      <c r="D3" s="386">
        <v>1.34</v>
      </c>
      <c r="E3" s="386">
        <v>1.25</v>
      </c>
      <c r="F3" s="386">
        <v>1.38</v>
      </c>
      <c r="G3" s="386" t="s">
        <v>336</v>
      </c>
    </row>
    <row r="4" spans="1:7">
      <c r="A4" s="385" t="s">
        <v>337</v>
      </c>
      <c r="B4" s="386">
        <v>0.76</v>
      </c>
      <c r="C4" s="386">
        <v>0.89</v>
      </c>
      <c r="D4" s="386">
        <v>1</v>
      </c>
      <c r="E4" s="386">
        <v>1.07</v>
      </c>
      <c r="F4" s="386">
        <v>1.23</v>
      </c>
      <c r="G4" s="386" t="s">
        <v>338</v>
      </c>
    </row>
    <row r="5" spans="1:7">
      <c r="A5" s="385" t="s">
        <v>339</v>
      </c>
      <c r="B5" s="386">
        <v>0.21</v>
      </c>
      <c r="C5" s="386">
        <v>0.23</v>
      </c>
      <c r="D5" s="386">
        <v>0.42</v>
      </c>
      <c r="E5" s="386">
        <v>0.7</v>
      </c>
      <c r="F5" s="386">
        <v>0.9</v>
      </c>
      <c r="G5" s="386" t="s">
        <v>340</v>
      </c>
    </row>
    <row r="7" spans="1:7" ht="15.75">
      <c r="A7" s="384" t="s">
        <v>150</v>
      </c>
      <c r="B7" s="363"/>
      <c r="C7" s="363"/>
      <c r="D7" s="363"/>
      <c r="E7" s="363"/>
      <c r="F7" s="363"/>
      <c r="G7" s="363"/>
    </row>
    <row r="8" spans="1:7">
      <c r="A8" s="387"/>
      <c r="B8" s="388">
        <v>2020</v>
      </c>
      <c r="C8" s="388">
        <v>2021</v>
      </c>
      <c r="D8" s="388">
        <v>2022</v>
      </c>
      <c r="E8" s="388">
        <v>2023</v>
      </c>
      <c r="F8" s="388">
        <v>2024</v>
      </c>
      <c r="G8" s="388" t="s">
        <v>334</v>
      </c>
    </row>
    <row r="9" spans="1:7">
      <c r="A9" s="385" t="s">
        <v>341</v>
      </c>
      <c r="B9" s="386">
        <v>1.37</v>
      </c>
      <c r="C9" s="386">
        <v>1.27</v>
      </c>
      <c r="D9" s="386">
        <v>0.9</v>
      </c>
      <c r="E9" s="386">
        <v>0.55000000000000004</v>
      </c>
      <c r="F9" s="386">
        <v>0.38</v>
      </c>
      <c r="G9" s="386" t="s">
        <v>342</v>
      </c>
    </row>
    <row r="10" spans="1:7">
      <c r="A10" s="385" t="s">
        <v>343</v>
      </c>
      <c r="B10" s="386">
        <v>0.72</v>
      </c>
      <c r="C10" s="386">
        <v>0.71</v>
      </c>
      <c r="D10" s="386">
        <v>0.67</v>
      </c>
      <c r="E10" s="386">
        <v>0.65</v>
      </c>
      <c r="F10" s="386">
        <v>0.59</v>
      </c>
      <c r="G10" s="386" t="s">
        <v>344</v>
      </c>
    </row>
    <row r="11" spans="1:7">
      <c r="A11" s="385" t="s">
        <v>345</v>
      </c>
      <c r="B11" s="386">
        <v>0.28000000000000003</v>
      </c>
      <c r="C11" s="386">
        <v>0.28999999999999998</v>
      </c>
      <c r="D11" s="386">
        <v>0.33</v>
      </c>
      <c r="E11" s="386">
        <v>0.35</v>
      </c>
      <c r="F11" s="386">
        <v>0.41</v>
      </c>
      <c r="G11" s="386" t="s">
        <v>346</v>
      </c>
    </row>
    <row r="14" spans="1:7" ht="15.75">
      <c r="A14" s="383" t="s">
        <v>347</v>
      </c>
    </row>
    <row r="15" spans="1:7">
      <c r="A15" s="387"/>
      <c r="B15" s="388">
        <v>2020</v>
      </c>
      <c r="C15" s="388">
        <v>2021</v>
      </c>
      <c r="D15" s="388">
        <v>2022</v>
      </c>
      <c r="E15" s="388">
        <v>2023</v>
      </c>
      <c r="F15" s="388">
        <v>2024</v>
      </c>
      <c r="G15" s="388" t="s">
        <v>153</v>
      </c>
    </row>
    <row r="16" spans="1:7">
      <c r="A16" s="385" t="s">
        <v>348</v>
      </c>
      <c r="B16" s="386">
        <v>1.3</v>
      </c>
      <c r="C16" s="386">
        <v>1.3</v>
      </c>
      <c r="D16" s="386">
        <v>1.32</v>
      </c>
      <c r="E16" s="386">
        <v>1.23</v>
      </c>
      <c r="F16" s="386">
        <v>1.1100000000000001</v>
      </c>
      <c r="G16" s="386" t="s">
        <v>349</v>
      </c>
    </row>
    <row r="17" spans="1:7">
      <c r="A17" s="385" t="s">
        <v>350</v>
      </c>
      <c r="B17" s="386">
        <v>6.91</v>
      </c>
      <c r="C17" s="386">
        <v>6.91</v>
      </c>
      <c r="D17" s="386">
        <v>7.16</v>
      </c>
      <c r="E17" s="386">
        <v>7.63</v>
      </c>
      <c r="F17" s="386">
        <v>8.4600000000000009</v>
      </c>
      <c r="G17" s="386" t="s">
        <v>351</v>
      </c>
    </row>
    <row r="18" spans="1:7">
      <c r="A18" s="385" t="s">
        <v>352</v>
      </c>
      <c r="B18" s="386">
        <v>10.08</v>
      </c>
      <c r="C18" s="386">
        <v>10.08</v>
      </c>
      <c r="D18" s="386">
        <v>11.03</v>
      </c>
      <c r="E18" s="386">
        <v>11.5</v>
      </c>
      <c r="F18" s="386">
        <v>12.08</v>
      </c>
      <c r="G18" s="386" t="s">
        <v>353</v>
      </c>
    </row>
    <row r="20" spans="1:7" ht="15.75">
      <c r="A20" s="383" t="s">
        <v>354</v>
      </c>
    </row>
    <row r="21" spans="1:7">
      <c r="A21" s="387"/>
      <c r="B21" s="388">
        <v>2020</v>
      </c>
      <c r="C21" s="388">
        <v>2021</v>
      </c>
      <c r="D21" s="388">
        <v>2022</v>
      </c>
      <c r="E21" s="388">
        <v>2023</v>
      </c>
      <c r="F21" s="388">
        <v>2024</v>
      </c>
      <c r="G21" s="388" t="s">
        <v>334</v>
      </c>
    </row>
    <row r="22" spans="1:7">
      <c r="A22" s="385" t="s">
        <v>355</v>
      </c>
      <c r="B22" s="386">
        <v>0.14599999999999999</v>
      </c>
      <c r="C22" s="386">
        <v>0.14399999999999999</v>
      </c>
      <c r="D22" s="386">
        <v>0.155</v>
      </c>
      <c r="E22" s="386">
        <v>0.17100000000000001</v>
      </c>
      <c r="F22" s="386">
        <v>0.20100000000000001</v>
      </c>
      <c r="G22" s="386" t="s">
        <v>338</v>
      </c>
    </row>
    <row r="23" spans="1:7">
      <c r="A23" s="385" t="s">
        <v>356</v>
      </c>
      <c r="B23" s="386">
        <v>7.5999999999999998E-2</v>
      </c>
      <c r="C23" s="386">
        <v>7.5999999999999998E-2</v>
      </c>
      <c r="D23" s="386">
        <v>0.09</v>
      </c>
      <c r="E23" s="386">
        <v>0.104</v>
      </c>
      <c r="F23" s="386">
        <v>0.125</v>
      </c>
      <c r="G23" s="386" t="s">
        <v>357</v>
      </c>
    </row>
    <row r="24" spans="1:7">
      <c r="A24" s="385" t="s">
        <v>358</v>
      </c>
      <c r="B24" s="386">
        <v>3.5000000000000003E-2</v>
      </c>
      <c r="C24" s="386">
        <v>4.2999999999999997E-2</v>
      </c>
      <c r="D24" s="386">
        <v>5.5E-2</v>
      </c>
      <c r="E24" s="386">
        <v>7.0000000000000007E-2</v>
      </c>
      <c r="F24" s="386">
        <v>0.122</v>
      </c>
      <c r="G24" s="386" t="s">
        <v>359</v>
      </c>
    </row>
    <row r="25" spans="1:7">
      <c r="A25" s="387" t="s">
        <v>360</v>
      </c>
      <c r="B25" s="388">
        <v>4.4999999999999998E-2</v>
      </c>
      <c r="C25" s="388">
        <v>0.05</v>
      </c>
      <c r="D25" s="388">
        <v>6.7000000000000004E-2</v>
      </c>
      <c r="E25" s="388">
        <v>7.8E-2</v>
      </c>
      <c r="F25" s="388">
        <v>0.128</v>
      </c>
      <c r="G25" s="388" t="s">
        <v>361</v>
      </c>
    </row>
    <row r="26" spans="1:7">
      <c r="A26" s="385" t="s">
        <v>362</v>
      </c>
      <c r="B26" s="386">
        <v>0.16</v>
      </c>
      <c r="C26" s="386">
        <v>0.17100000000000001</v>
      </c>
      <c r="D26" s="386">
        <v>0.20200000000000001</v>
      </c>
      <c r="E26" s="386">
        <v>0.222</v>
      </c>
      <c r="F26" s="386">
        <v>0.312</v>
      </c>
      <c r="G26" s="386" t="s">
        <v>363</v>
      </c>
    </row>
    <row r="29" spans="1:7" ht="17.25">
      <c r="A29" s="382" t="s">
        <v>364</v>
      </c>
    </row>
    <row r="30" spans="1:7">
      <c r="A30" s="387"/>
      <c r="B30" s="388">
        <v>2020</v>
      </c>
      <c r="C30" s="388">
        <v>2021</v>
      </c>
      <c r="D30" s="388">
        <v>2022</v>
      </c>
      <c r="E30" s="388">
        <v>2023</v>
      </c>
      <c r="F30" s="388">
        <v>2024</v>
      </c>
      <c r="G30" s="388" t="s">
        <v>153</v>
      </c>
    </row>
    <row r="31" spans="1:7">
      <c r="A31" s="385" t="s">
        <v>365</v>
      </c>
      <c r="B31" s="386">
        <v>1.55</v>
      </c>
      <c r="C31" s="386">
        <v>2.15</v>
      </c>
      <c r="D31" s="386">
        <v>3.2</v>
      </c>
      <c r="E31" s="386">
        <v>4.51</v>
      </c>
      <c r="F31" s="386">
        <v>8.35</v>
      </c>
      <c r="G31" s="386" t="s">
        <v>366</v>
      </c>
    </row>
    <row r="32" spans="1:7">
      <c r="A32" s="385" t="s">
        <v>367</v>
      </c>
      <c r="B32" s="386">
        <v>12.01</v>
      </c>
      <c r="C32" s="386">
        <v>12.23</v>
      </c>
      <c r="D32" s="386">
        <v>10.25</v>
      </c>
      <c r="E32" s="386">
        <v>19.5</v>
      </c>
      <c r="F32" s="386">
        <v>21.26</v>
      </c>
      <c r="G32" s="386" t="s">
        <v>368</v>
      </c>
    </row>
    <row r="33" spans="1:7">
      <c r="A33" s="385" t="s">
        <v>369</v>
      </c>
      <c r="B33" s="386">
        <v>0</v>
      </c>
      <c r="C33" s="386">
        <v>0</v>
      </c>
      <c r="D33" s="386">
        <v>0</v>
      </c>
      <c r="E33" s="386">
        <v>0</v>
      </c>
      <c r="F33" s="386">
        <v>0</v>
      </c>
      <c r="G33" s="386" t="s">
        <v>370</v>
      </c>
    </row>
    <row r="34" spans="1:7">
      <c r="A34" s="387" t="s">
        <v>371</v>
      </c>
      <c r="B34" s="388">
        <v>0</v>
      </c>
      <c r="C34" s="388">
        <v>0</v>
      </c>
      <c r="D34" s="388">
        <v>0</v>
      </c>
      <c r="E34" s="388">
        <v>0</v>
      </c>
      <c r="F34" s="388">
        <v>0</v>
      </c>
      <c r="G34" s="388" t="s">
        <v>372</v>
      </c>
    </row>
    <row r="37" spans="1:7" ht="17.25">
      <c r="A37" s="381" t="s">
        <v>373</v>
      </c>
    </row>
    <row r="38" spans="1:7">
      <c r="A38" s="387"/>
      <c r="B38" s="388">
        <v>2020</v>
      </c>
      <c r="C38" s="388">
        <v>2021</v>
      </c>
      <c r="D38" s="388">
        <v>2022</v>
      </c>
      <c r="E38" s="388">
        <v>2023</v>
      </c>
      <c r="F38" s="388">
        <v>2024</v>
      </c>
      <c r="G38" s="388" t="s">
        <v>153</v>
      </c>
    </row>
    <row r="39" spans="1:7">
      <c r="A39" s="385" t="s">
        <v>374</v>
      </c>
      <c r="B39" s="386">
        <v>2.62</v>
      </c>
      <c r="C39" s="386">
        <v>2.75</v>
      </c>
      <c r="D39" s="386">
        <v>2.97</v>
      </c>
      <c r="E39" s="386">
        <v>3.36</v>
      </c>
      <c r="F39" s="386">
        <v>4.32</v>
      </c>
      <c r="G39" s="386" t="s">
        <v>375</v>
      </c>
    </row>
    <row r="40" spans="1:7">
      <c r="A40" s="385" t="s">
        <v>376</v>
      </c>
      <c r="B40" s="386">
        <v>125400</v>
      </c>
      <c r="C40" s="386">
        <v>141212</v>
      </c>
      <c r="D40" s="386">
        <v>211936</v>
      </c>
      <c r="E40" s="386">
        <v>263198</v>
      </c>
      <c r="F40" s="386">
        <v>333032</v>
      </c>
      <c r="G40" s="386" t="s">
        <v>366</v>
      </c>
    </row>
    <row r="41" spans="1:7">
      <c r="A41" s="385" t="s">
        <v>377</v>
      </c>
      <c r="B41" s="386">
        <v>0.16</v>
      </c>
      <c r="C41" s="386">
        <v>0.17</v>
      </c>
      <c r="D41" s="386">
        <v>0.2</v>
      </c>
      <c r="E41" s="386">
        <v>0.22</v>
      </c>
      <c r="F41" s="386">
        <v>0.31</v>
      </c>
      <c r="G41" s="386" t="s">
        <v>378</v>
      </c>
    </row>
    <row r="44" spans="1:7" ht="17.25">
      <c r="A44" s="382" t="s">
        <v>379</v>
      </c>
      <c r="B44" s="363"/>
      <c r="C44" s="363"/>
      <c r="D44" s="363"/>
    </row>
    <row r="45" spans="1:7">
      <c r="A45" s="387"/>
      <c r="B45" s="388">
        <v>2023</v>
      </c>
      <c r="C45" s="388">
        <v>2024</v>
      </c>
      <c r="D45" s="388" t="s">
        <v>30</v>
      </c>
    </row>
    <row r="46" spans="1:7">
      <c r="A46" s="385" t="s">
        <v>335</v>
      </c>
      <c r="B46" s="386">
        <v>1.25</v>
      </c>
      <c r="C46" s="386">
        <v>1.38</v>
      </c>
      <c r="D46" s="386">
        <v>0.104</v>
      </c>
    </row>
    <row r="47" spans="1:7">
      <c r="A47" s="385" t="s">
        <v>380</v>
      </c>
      <c r="B47" s="386">
        <v>0.55000000000000004</v>
      </c>
      <c r="C47" s="386">
        <v>0.38</v>
      </c>
      <c r="D47" s="386">
        <v>-0.309</v>
      </c>
    </row>
    <row r="48" spans="1:7">
      <c r="A48" s="385" t="s">
        <v>381</v>
      </c>
      <c r="B48" s="386">
        <v>0.17100000000000001</v>
      </c>
      <c r="C48" s="386">
        <v>0.20100000000000001</v>
      </c>
      <c r="D48" s="386" t="s">
        <v>382</v>
      </c>
    </row>
    <row r="49" spans="1:4">
      <c r="A49" s="387" t="s">
        <v>383</v>
      </c>
      <c r="B49" s="388" t="s">
        <v>384</v>
      </c>
      <c r="C49" s="388" t="s">
        <v>385</v>
      </c>
      <c r="D49" s="388">
        <v>3.9E-2</v>
      </c>
    </row>
    <row r="50" spans="1:4">
      <c r="A50" s="363"/>
      <c r="B50" s="363"/>
      <c r="C50" s="363"/>
      <c r="D50" s="363"/>
    </row>
    <row r="52" spans="1:4">
      <c r="A52" s="394" t="s">
        <v>386</v>
      </c>
    </row>
    <row r="54" spans="1:4">
      <c r="A54" s="4" t="s">
        <v>166</v>
      </c>
      <c r="B54" s="4" t="s">
        <v>41</v>
      </c>
      <c r="C54" s="4" t="s">
        <v>167</v>
      </c>
      <c r="D54" s="4" t="s">
        <v>168</v>
      </c>
    </row>
    <row r="55" spans="1:4">
      <c r="A55" s="26">
        <v>2019</v>
      </c>
      <c r="B55" s="393">
        <v>3.35</v>
      </c>
      <c r="C55" s="393">
        <v>0.77</v>
      </c>
      <c r="D55" s="393">
        <v>0.23</v>
      </c>
    </row>
    <row r="56" spans="1:4">
      <c r="A56" s="26">
        <v>2020</v>
      </c>
      <c r="B56" s="393">
        <v>2.5499999999999998</v>
      </c>
      <c r="C56" s="393">
        <v>0.72</v>
      </c>
      <c r="D56" s="393">
        <v>0.28000000000000003</v>
      </c>
    </row>
    <row r="57" spans="1:4">
      <c r="A57" s="26">
        <v>2021</v>
      </c>
      <c r="B57" s="393">
        <v>2.42</v>
      </c>
      <c r="C57" s="393">
        <v>0.71</v>
      </c>
      <c r="D57" s="393">
        <v>0.28999999999999998</v>
      </c>
    </row>
    <row r="58" spans="1:4">
      <c r="A58" s="26">
        <v>2022</v>
      </c>
      <c r="B58" s="393">
        <v>2.02</v>
      </c>
      <c r="C58" s="393">
        <v>0.67</v>
      </c>
      <c r="D58" s="393">
        <v>0.33</v>
      </c>
    </row>
    <row r="59" spans="1:4">
      <c r="A59" s="26">
        <v>2023</v>
      </c>
      <c r="B59" s="393">
        <v>1.85</v>
      </c>
      <c r="C59" s="393">
        <v>0.65</v>
      </c>
      <c r="D59" s="393">
        <v>0.35</v>
      </c>
    </row>
    <row r="60" spans="1:4">
      <c r="A60" s="26">
        <v>2024</v>
      </c>
      <c r="B60" s="393">
        <v>1.44</v>
      </c>
      <c r="C60" s="393">
        <v>0.59</v>
      </c>
      <c r="D60" s="393">
        <v>0.41</v>
      </c>
    </row>
    <row r="61" spans="1:4">
      <c r="A61" s="26">
        <v>2025</v>
      </c>
      <c r="B61" s="393">
        <v>1.36</v>
      </c>
      <c r="C61" s="393">
        <v>0.57999999999999996</v>
      </c>
      <c r="D61" s="393">
        <v>0.42</v>
      </c>
    </row>
  </sheetData>
  <pageMargins left="0.7" right="0.7" top="0.75" bottom="0.75" header="0.3" footer="0.3"/>
  <drawing r:id="rId1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FAA2E7-B5E8-4A50-83F0-3288F17C86AE}">
  <sheetPr>
    <tabColor rgb="FFFFFF00"/>
  </sheetPr>
  <dimension ref="A1:W56"/>
  <sheetViews>
    <sheetView topLeftCell="A31" workbookViewId="0">
      <selection activeCell="G52" sqref="G52"/>
    </sheetView>
  </sheetViews>
  <sheetFormatPr defaultRowHeight="15"/>
  <cols>
    <col min="1" max="1" width="52.7109375" bestFit="1" customWidth="1"/>
    <col min="2" max="3" width="13.28515625" customWidth="1"/>
    <col min="4" max="4" width="14.28515625" customWidth="1"/>
    <col min="5" max="5" width="15.140625" customWidth="1"/>
    <col min="6" max="6" width="15.42578125" customWidth="1"/>
    <col min="7" max="7" width="15.140625" customWidth="1"/>
    <col min="8" max="8" width="14.5703125" customWidth="1"/>
    <col min="9" max="9" width="14.7109375" customWidth="1"/>
    <col min="10" max="10" width="15.140625" customWidth="1"/>
    <col min="11" max="11" width="13.28515625" customWidth="1"/>
    <col min="14" max="14" width="14.140625" customWidth="1"/>
    <col min="15" max="15" width="12" customWidth="1"/>
    <col min="16" max="16" width="14.85546875" customWidth="1"/>
    <col min="17" max="17" width="24" customWidth="1"/>
    <col min="21" max="21" width="9.7109375" bestFit="1" customWidth="1"/>
  </cols>
  <sheetData>
    <row r="1" spans="1:22">
      <c r="A1" s="302" t="s">
        <v>387</v>
      </c>
    </row>
    <row r="2" spans="1:22">
      <c r="A2" s="272"/>
      <c r="B2" s="278">
        <v>2020</v>
      </c>
      <c r="C2" s="278">
        <v>2021</v>
      </c>
      <c r="D2" s="278">
        <v>2022</v>
      </c>
      <c r="E2" s="278">
        <v>2023</v>
      </c>
      <c r="F2" s="278">
        <v>2024</v>
      </c>
      <c r="G2" s="278" t="s">
        <v>388</v>
      </c>
      <c r="H2" s="278" t="s">
        <v>389</v>
      </c>
      <c r="I2" s="278" t="s">
        <v>390</v>
      </c>
      <c r="J2" s="264" t="s">
        <v>391</v>
      </c>
      <c r="K2" s="276" t="s">
        <v>392</v>
      </c>
      <c r="M2" s="265"/>
      <c r="N2" s="265"/>
      <c r="O2" s="265"/>
    </row>
    <row r="3" spans="1:22">
      <c r="A3" s="268" t="s">
        <v>58</v>
      </c>
      <c r="B3" s="304">
        <v>1226738</v>
      </c>
      <c r="C3" s="304">
        <v>1414374</v>
      </c>
      <c r="D3" s="304">
        <v>1769436</v>
      </c>
      <c r="E3" s="304">
        <v>1972229</v>
      </c>
      <c r="F3" s="304">
        <v>2115756</v>
      </c>
      <c r="G3" s="305">
        <f>F3*(1+G4)</f>
        <v>2327331.6</v>
      </c>
      <c r="H3" s="305">
        <f t="shared" ref="H3:K3" si="0">G3*(1+H4)</f>
        <v>2560064.7600000002</v>
      </c>
      <c r="I3" s="305">
        <f t="shared" si="0"/>
        <v>2816071.2360000005</v>
      </c>
      <c r="J3" s="306">
        <f t="shared" si="0"/>
        <v>3097678.359600001</v>
      </c>
      <c r="K3" s="307">
        <f t="shared" si="0"/>
        <v>3407446.1955600013</v>
      </c>
      <c r="M3" s="262"/>
      <c r="N3" s="266"/>
      <c r="O3" s="262"/>
      <c r="Q3" s="259"/>
    </row>
    <row r="4" spans="1:22">
      <c r="A4" s="268"/>
      <c r="B4" s="283"/>
      <c r="C4" s="283">
        <f>(C3-B3)/B3</f>
        <v>0.15295523575531206</v>
      </c>
      <c r="D4" s="283">
        <f t="shared" ref="D4:F4" si="1">(D3-C3)/C3</f>
        <v>0.25103826852020755</v>
      </c>
      <c r="E4" s="283">
        <f t="shared" si="1"/>
        <v>0.11460883580982867</v>
      </c>
      <c r="F4" s="283">
        <f t="shared" si="1"/>
        <v>7.2774003424551606E-2</v>
      </c>
      <c r="G4" s="284">
        <v>0.1</v>
      </c>
      <c r="H4" s="284">
        <v>0.1</v>
      </c>
      <c r="I4" s="284">
        <v>0.1</v>
      </c>
      <c r="J4" s="284">
        <v>0.1</v>
      </c>
      <c r="K4" s="284">
        <v>0.1</v>
      </c>
      <c r="M4" s="522" t="s">
        <v>393</v>
      </c>
      <c r="N4" s="523"/>
      <c r="O4" s="523"/>
      <c r="P4" s="523"/>
      <c r="Q4" s="523"/>
      <c r="R4" s="523"/>
      <c r="S4" s="523"/>
      <c r="T4" s="523"/>
      <c r="U4" s="523"/>
      <c r="V4" s="524"/>
    </row>
    <row r="5" spans="1:22">
      <c r="A5" s="268" t="s">
        <v>59</v>
      </c>
      <c r="B5" s="304">
        <v>-1047108</v>
      </c>
      <c r="C5" s="304">
        <v>-1210842</v>
      </c>
      <c r="D5" s="304">
        <v>-1494869</v>
      </c>
      <c r="E5" s="304">
        <v>-1634591</v>
      </c>
      <c r="F5" s="304">
        <v>-1689633</v>
      </c>
      <c r="G5" s="305">
        <f>F5*(1+G6)</f>
        <v>-1791010.98</v>
      </c>
      <c r="H5" s="305">
        <f t="shared" ref="H5:K5" si="2">G5*(1+H6)</f>
        <v>-1880561.5290000001</v>
      </c>
      <c r="I5" s="305">
        <f t="shared" si="2"/>
        <v>-1955783.9901600003</v>
      </c>
      <c r="J5" s="306">
        <f t="shared" si="2"/>
        <v>-2014457.5098648004</v>
      </c>
      <c r="K5" s="307">
        <f t="shared" si="2"/>
        <v>-2054746.6600620963</v>
      </c>
      <c r="M5" s="262"/>
      <c r="N5" s="266"/>
      <c r="O5" s="261"/>
      <c r="Q5" s="259"/>
    </row>
    <row r="6" spans="1:22">
      <c r="A6" s="273"/>
      <c r="B6" s="288"/>
      <c r="C6" s="288">
        <f>(C5-B5)/B5</f>
        <v>0.15636782452239884</v>
      </c>
      <c r="D6" s="288">
        <f t="shared" ref="D6:F6" si="3">(D5-C5)/C5</f>
        <v>0.23456982826826292</v>
      </c>
      <c r="E6" s="288">
        <f>(E5-D5)/D5</f>
        <v>9.3467721920783689E-2</v>
      </c>
      <c r="F6" s="288">
        <f>(F5-E5)/E5</f>
        <v>3.3673255266913865E-2</v>
      </c>
      <c r="G6" s="284">
        <v>0.06</v>
      </c>
      <c r="H6" s="285">
        <v>0.05</v>
      </c>
      <c r="I6" s="284">
        <v>0.04</v>
      </c>
      <c r="J6" s="286">
        <v>0.03</v>
      </c>
      <c r="K6" s="287">
        <v>0.02</v>
      </c>
      <c r="M6" s="262"/>
      <c r="N6" s="266"/>
      <c r="O6" s="261"/>
      <c r="Q6" s="259"/>
    </row>
    <row r="7" spans="1:22">
      <c r="A7" s="271" t="s">
        <v>60</v>
      </c>
      <c r="B7" s="304">
        <f>B3+B5</f>
        <v>179630</v>
      </c>
      <c r="C7" s="304">
        <f t="shared" ref="C7:K7" si="4">C3+C5</f>
        <v>203532</v>
      </c>
      <c r="D7" s="304">
        <f t="shared" si="4"/>
        <v>274567</v>
      </c>
      <c r="E7" s="304">
        <f t="shared" si="4"/>
        <v>337638</v>
      </c>
      <c r="F7" s="304">
        <f t="shared" si="4"/>
        <v>426123</v>
      </c>
      <c r="G7" s="304">
        <f t="shared" si="4"/>
        <v>536320.62000000011</v>
      </c>
      <c r="H7" s="304">
        <f t="shared" si="4"/>
        <v>679503.23100000015</v>
      </c>
      <c r="I7" s="304">
        <f t="shared" si="4"/>
        <v>860287.24584000022</v>
      </c>
      <c r="J7" s="308">
        <f t="shared" si="4"/>
        <v>1083220.8497352006</v>
      </c>
      <c r="K7" s="309">
        <f t="shared" si="4"/>
        <v>1352699.535497905</v>
      </c>
      <c r="M7" s="262"/>
      <c r="N7" s="266"/>
      <c r="O7" s="261"/>
      <c r="Q7" s="259"/>
    </row>
    <row r="8" spans="1:22">
      <c r="A8" s="268"/>
      <c r="B8" s="280"/>
      <c r="C8" s="283">
        <f>(C7-B7)/B7</f>
        <v>0.13306240605689473</v>
      </c>
      <c r="D8" s="283">
        <f t="shared" ref="D8:K8" si="5">(D7-C7)/C7</f>
        <v>0.34901145765776387</v>
      </c>
      <c r="E8" s="283">
        <f t="shared" si="5"/>
        <v>0.22971078097513539</v>
      </c>
      <c r="F8" s="283">
        <f t="shared" si="5"/>
        <v>0.26207062001315018</v>
      </c>
      <c r="G8" s="283">
        <f t="shared" si="5"/>
        <v>0.2586051914588044</v>
      </c>
      <c r="H8" s="283">
        <f t="shared" si="5"/>
        <v>0.26697204183572132</v>
      </c>
      <c r="I8" s="283">
        <f t="shared" si="5"/>
        <v>0.26605320856818715</v>
      </c>
      <c r="J8" s="290">
        <f t="shared" si="5"/>
        <v>0.25913856676734054</v>
      </c>
      <c r="K8" s="291">
        <f t="shared" si="5"/>
        <v>0.248775386689224</v>
      </c>
      <c r="M8" s="262"/>
      <c r="N8" s="262"/>
      <c r="O8" s="260"/>
      <c r="Q8" s="259"/>
    </row>
    <row r="9" spans="1:22">
      <c r="A9" s="268" t="s">
        <v>61</v>
      </c>
      <c r="B9" s="310">
        <v>-64308</v>
      </c>
      <c r="C9" s="310">
        <v>-69153</v>
      </c>
      <c r="D9" s="310">
        <v>-86480</v>
      </c>
      <c r="E9" s="310">
        <v>-98703</v>
      </c>
      <c r="F9" s="310">
        <v>-118424</v>
      </c>
      <c r="G9" s="311">
        <f>F9*(1+G10)</f>
        <v>-124345.20000000001</v>
      </c>
      <c r="H9" s="311">
        <f t="shared" ref="H9:K9" si="6">G9*(1+H10)</f>
        <v>-130562.46000000002</v>
      </c>
      <c r="I9" s="311">
        <f t="shared" si="6"/>
        <v>-135784.95840000003</v>
      </c>
      <c r="J9" s="312">
        <f t="shared" si="6"/>
        <v>-139858.50715200003</v>
      </c>
      <c r="K9" s="313">
        <f t="shared" si="6"/>
        <v>-144054.26236656003</v>
      </c>
      <c r="M9" s="262"/>
      <c r="N9" s="262"/>
      <c r="O9" s="261"/>
      <c r="Q9" s="259"/>
    </row>
    <row r="10" spans="1:22">
      <c r="A10" s="268"/>
      <c r="B10" s="280"/>
      <c r="C10" s="283">
        <f>(C9-B9)/B9</f>
        <v>7.5340548609815261E-2</v>
      </c>
      <c r="D10" s="283">
        <f t="shared" ref="D10:F10" si="7">(D9-C9)/C9</f>
        <v>0.25056035168394719</v>
      </c>
      <c r="E10" s="283">
        <f t="shared" si="7"/>
        <v>0.14133903792784458</v>
      </c>
      <c r="F10" s="283">
        <f t="shared" si="7"/>
        <v>0.19980142447544655</v>
      </c>
      <c r="G10" s="284">
        <f>5%</f>
        <v>0.05</v>
      </c>
      <c r="H10" s="285">
        <f>5%</f>
        <v>0.05</v>
      </c>
      <c r="I10" s="284">
        <f>4%</f>
        <v>0.04</v>
      </c>
      <c r="J10" s="286">
        <f>3%</f>
        <v>0.03</v>
      </c>
      <c r="K10" s="287">
        <f>3%</f>
        <v>0.03</v>
      </c>
      <c r="M10" s="262"/>
      <c r="N10" s="262"/>
      <c r="O10" s="260"/>
      <c r="Q10" s="259"/>
    </row>
    <row r="11" spans="1:22">
      <c r="A11" s="268" t="s">
        <v>62</v>
      </c>
      <c r="B11" s="304">
        <v>-11436</v>
      </c>
      <c r="C11" s="304">
        <v>-11464</v>
      </c>
      <c r="D11" s="304">
        <v>-14100</v>
      </c>
      <c r="E11" s="304">
        <v>-15229</v>
      </c>
      <c r="F11" s="304">
        <v>-17037</v>
      </c>
      <c r="G11" s="305">
        <f>F11*(1+G12)</f>
        <v>-17377.740000000002</v>
      </c>
      <c r="H11" s="305">
        <f t="shared" ref="H11:K11" si="8">G11*(1+H12)</f>
        <v>-17725.294800000003</v>
      </c>
      <c r="I11" s="305">
        <f t="shared" si="8"/>
        <v>-18079.800696000002</v>
      </c>
      <c r="J11" s="306">
        <f t="shared" si="8"/>
        <v>-18441.396709920002</v>
      </c>
      <c r="K11" s="307">
        <f t="shared" si="8"/>
        <v>-18810.224644118403</v>
      </c>
      <c r="M11" s="262"/>
      <c r="N11" s="262"/>
      <c r="O11" s="260"/>
      <c r="Q11" s="259"/>
    </row>
    <row r="12" spans="1:22">
      <c r="A12" s="268"/>
      <c r="B12" s="280"/>
      <c r="C12" s="283">
        <f>(C11-B11)/B11</f>
        <v>2.4484085344526059E-3</v>
      </c>
      <c r="D12" s="283">
        <f t="shared" ref="D12:F12" si="9">(D11-C11)/C11</f>
        <v>0.22993719469644103</v>
      </c>
      <c r="E12" s="283">
        <f t="shared" si="9"/>
        <v>8.0070921985815599E-2</v>
      </c>
      <c r="F12" s="283">
        <f t="shared" si="9"/>
        <v>0.11872086151421629</v>
      </c>
      <c r="G12" s="284">
        <f>2%</f>
        <v>0.02</v>
      </c>
      <c r="H12" s="285">
        <f>2%</f>
        <v>0.02</v>
      </c>
      <c r="I12" s="284">
        <f>2%</f>
        <v>0.02</v>
      </c>
      <c r="J12" s="286">
        <f>2%</f>
        <v>0.02</v>
      </c>
      <c r="K12" s="287">
        <f>2%</f>
        <v>0.02</v>
      </c>
      <c r="M12" s="262"/>
      <c r="N12" s="262"/>
      <c r="O12" s="260"/>
      <c r="Q12" s="259"/>
    </row>
    <row r="13" spans="1:22">
      <c r="A13" s="268" t="s">
        <v>63</v>
      </c>
      <c r="B13" s="304">
        <v>-1026</v>
      </c>
      <c r="C13" s="304">
        <v>-3877</v>
      </c>
      <c r="D13" s="304">
        <v>-827</v>
      </c>
      <c r="E13" s="304">
        <v>-873</v>
      </c>
      <c r="F13" s="304">
        <v>-421</v>
      </c>
      <c r="G13" s="304">
        <v>-421</v>
      </c>
      <c r="H13" s="304">
        <v>-421</v>
      </c>
      <c r="I13" s="304">
        <v>-421</v>
      </c>
      <c r="J13" s="308">
        <v>-421</v>
      </c>
      <c r="K13" s="309">
        <v>-421</v>
      </c>
      <c r="M13" s="262"/>
      <c r="N13" s="262"/>
      <c r="O13" s="260"/>
      <c r="Q13" s="259"/>
    </row>
    <row r="14" spans="1:22">
      <c r="A14" s="268" t="s">
        <v>64</v>
      </c>
      <c r="B14" s="304">
        <v>-10245</v>
      </c>
      <c r="C14" s="304">
        <v>-12027</v>
      </c>
      <c r="D14" s="304">
        <v>-13290</v>
      </c>
      <c r="E14" s="304">
        <v>-17041</v>
      </c>
      <c r="F14" s="304">
        <v>-25619</v>
      </c>
      <c r="G14" s="304">
        <v>-25619</v>
      </c>
      <c r="H14" s="304">
        <v>-25619</v>
      </c>
      <c r="I14" s="304">
        <v>-25619</v>
      </c>
      <c r="J14" s="308">
        <v>-25619</v>
      </c>
      <c r="K14" s="309">
        <v>-25619</v>
      </c>
      <c r="Q14" s="259"/>
    </row>
    <row r="15" spans="1:22">
      <c r="A15" s="268"/>
      <c r="B15" s="280"/>
      <c r="C15" s="283">
        <f>(C14-B14)/B14</f>
        <v>0.17393850658857979</v>
      </c>
      <c r="D15" s="283">
        <f t="shared" ref="D15:K15" si="10">(D14-C14)/C14</f>
        <v>0.10501371913195311</v>
      </c>
      <c r="E15" s="283">
        <f t="shared" si="10"/>
        <v>0.28224228743416102</v>
      </c>
      <c r="F15" s="283">
        <f t="shared" si="10"/>
        <v>0.50337421512822023</v>
      </c>
      <c r="G15" s="284">
        <f t="shared" si="10"/>
        <v>0</v>
      </c>
      <c r="H15" s="285">
        <f t="shared" si="10"/>
        <v>0</v>
      </c>
      <c r="I15" s="284">
        <f t="shared" si="10"/>
        <v>0</v>
      </c>
      <c r="J15" s="286">
        <f t="shared" si="10"/>
        <v>0</v>
      </c>
      <c r="K15" s="287">
        <f t="shared" si="10"/>
        <v>0</v>
      </c>
      <c r="Q15" s="259"/>
    </row>
    <row r="16" spans="1:22">
      <c r="A16" s="271" t="s">
        <v>66</v>
      </c>
      <c r="B16" s="310">
        <v>92615</v>
      </c>
      <c r="C16" s="310">
        <v>107011</v>
      </c>
      <c r="D16" s="310">
        <v>159870</v>
      </c>
      <c r="E16" s="310">
        <v>205795</v>
      </c>
      <c r="F16" s="310">
        <v>264622</v>
      </c>
      <c r="G16" s="311">
        <f>G7+G9+G11+G13+G14</f>
        <v>368557.68000000011</v>
      </c>
      <c r="H16" s="311">
        <f t="shared" ref="H16:K16" si="11">H7+H9+H11+H13+H14</f>
        <v>505175.47620000015</v>
      </c>
      <c r="I16" s="311">
        <f t="shared" si="11"/>
        <v>680382.48674400023</v>
      </c>
      <c r="J16" s="312">
        <f t="shared" si="11"/>
        <v>898880.94587328064</v>
      </c>
      <c r="K16" s="313">
        <f t="shared" si="11"/>
        <v>1163795.0484872265</v>
      </c>
      <c r="Q16" s="259"/>
    </row>
    <row r="17" spans="1:17">
      <c r="A17" s="271"/>
      <c r="B17" s="280"/>
      <c r="C17" s="283">
        <f>(C16-B16)/B16</f>
        <v>0.15543918371754037</v>
      </c>
      <c r="D17" s="283">
        <f t="shared" ref="D17:K17" si="12">(D16-C16)/C16</f>
        <v>0.4939585650073357</v>
      </c>
      <c r="E17" s="283">
        <f t="shared" si="12"/>
        <v>0.2872646525301808</v>
      </c>
      <c r="F17" s="283">
        <f t="shared" si="12"/>
        <v>0.28585242595787069</v>
      </c>
      <c r="G17" s="283">
        <f t="shared" si="12"/>
        <v>0.39277036678734234</v>
      </c>
      <c r="H17" s="283">
        <f t="shared" si="12"/>
        <v>0.37068226661292203</v>
      </c>
      <c r="I17" s="283">
        <f t="shared" si="12"/>
        <v>0.34682406173381863</v>
      </c>
      <c r="J17" s="290">
        <f t="shared" si="12"/>
        <v>0.32114062808246907</v>
      </c>
      <c r="K17" s="291">
        <f t="shared" si="12"/>
        <v>0.29471545017185402</v>
      </c>
      <c r="Q17" s="259"/>
    </row>
    <row r="18" spans="1:17">
      <c r="A18" s="268" t="s">
        <v>67</v>
      </c>
      <c r="B18" s="310">
        <v>149</v>
      </c>
      <c r="C18" s="310">
        <v>45</v>
      </c>
      <c r="D18" s="310">
        <v>885</v>
      </c>
      <c r="E18" s="310">
        <v>14140</v>
      </c>
      <c r="F18" s="310">
        <v>27622</v>
      </c>
      <c r="G18" s="311">
        <f>F18*(1+G19)</f>
        <v>29003.100000000002</v>
      </c>
      <c r="H18" s="311">
        <f t="shared" ref="H18:K18" si="13">G18*(1+H19)</f>
        <v>30453.255000000005</v>
      </c>
      <c r="I18" s="311">
        <f t="shared" si="13"/>
        <v>31975.917750000008</v>
      </c>
      <c r="J18" s="312">
        <f t="shared" si="13"/>
        <v>33574.713637500012</v>
      </c>
      <c r="K18" s="313">
        <f t="shared" si="13"/>
        <v>35253.449319375017</v>
      </c>
      <c r="Q18" s="259"/>
    </row>
    <row r="19" spans="1:17">
      <c r="A19" s="268"/>
      <c r="B19" s="283"/>
      <c r="C19" s="283">
        <f>(C18-B18)/B18</f>
        <v>-0.69798657718120805</v>
      </c>
      <c r="D19" s="283">
        <f t="shared" ref="D19:F19" si="14">(D18-C18)/C18</f>
        <v>18.666666666666668</v>
      </c>
      <c r="E19" s="283">
        <f t="shared" si="14"/>
        <v>14.977401129943503</v>
      </c>
      <c r="F19" s="283">
        <f t="shared" si="14"/>
        <v>0.95346534653465342</v>
      </c>
      <c r="G19" s="284">
        <f>5%</f>
        <v>0.05</v>
      </c>
      <c r="H19" s="285">
        <f>5%</f>
        <v>0.05</v>
      </c>
      <c r="I19" s="284">
        <f>5%</f>
        <v>0.05</v>
      </c>
      <c r="J19" s="286">
        <f>5%</f>
        <v>0.05</v>
      </c>
      <c r="K19" s="287">
        <f>5%</f>
        <v>0.05</v>
      </c>
      <c r="Q19" s="259"/>
    </row>
    <row r="20" spans="1:17">
      <c r="A20" s="268" t="s">
        <v>68</v>
      </c>
      <c r="B20" s="304">
        <v>-29332</v>
      </c>
      <c r="C20" s="304">
        <v>-19311</v>
      </c>
      <c r="D20" s="304">
        <v>-20591</v>
      </c>
      <c r="E20" s="304">
        <v>-29320</v>
      </c>
      <c r="F20" s="304">
        <v>-25255</v>
      </c>
      <c r="G20" s="305">
        <f>F20*(1+G21)</f>
        <v>-24749.899999999998</v>
      </c>
      <c r="H20" s="305">
        <f t="shared" ref="H20:K20" si="15">G20*(1+H21)</f>
        <v>-24254.901999999998</v>
      </c>
      <c r="I20" s="305">
        <f t="shared" si="15"/>
        <v>-23769.803959999997</v>
      </c>
      <c r="J20" s="306">
        <f t="shared" si="15"/>
        <v>-23294.407880799998</v>
      </c>
      <c r="K20" s="307">
        <f t="shared" si="15"/>
        <v>-22828.519723183996</v>
      </c>
      <c r="Q20" s="259"/>
    </row>
    <row r="21" spans="1:17">
      <c r="A21" s="268"/>
      <c r="B21" s="283"/>
      <c r="C21" s="283">
        <f>(C20-B20)/B20</f>
        <v>-0.34164052911495979</v>
      </c>
      <c r="D21" s="283">
        <f t="shared" ref="D21:F21" si="16">(D20-C20)/C20</f>
        <v>6.6283465382424522E-2</v>
      </c>
      <c r="E21" s="283">
        <f t="shared" si="16"/>
        <v>0.42392307318731487</v>
      </c>
      <c r="F21" s="283">
        <f t="shared" si="16"/>
        <v>-0.13864256480218282</v>
      </c>
      <c r="G21" s="284">
        <f>-2%</f>
        <v>-0.02</v>
      </c>
      <c r="H21" s="285">
        <f t="shared" ref="H21:K21" si="17">-2%</f>
        <v>-0.02</v>
      </c>
      <c r="I21" s="284">
        <f t="shared" si="17"/>
        <v>-0.02</v>
      </c>
      <c r="J21" s="286">
        <f t="shared" si="17"/>
        <v>-0.02</v>
      </c>
      <c r="K21" s="287">
        <f t="shared" si="17"/>
        <v>-0.02</v>
      </c>
      <c r="Q21" s="259"/>
    </row>
    <row r="22" spans="1:17" ht="18">
      <c r="A22" s="268" t="s">
        <v>69</v>
      </c>
      <c r="B22" s="304">
        <v>-301</v>
      </c>
      <c r="C22" s="304">
        <v>1064</v>
      </c>
      <c r="D22" s="304" t="s">
        <v>70</v>
      </c>
      <c r="E22" s="304" t="s">
        <v>70</v>
      </c>
      <c r="F22" s="304">
        <v>91289</v>
      </c>
      <c r="G22" s="305"/>
      <c r="H22" s="305"/>
      <c r="I22" s="305"/>
      <c r="J22" s="306"/>
      <c r="K22" s="307"/>
      <c r="Q22" s="259"/>
    </row>
    <row r="23" spans="1:17">
      <c r="A23" s="271" t="s">
        <v>71</v>
      </c>
      <c r="B23" s="304">
        <v>63131</v>
      </c>
      <c r="C23" s="304">
        <v>88809</v>
      </c>
      <c r="D23" s="304">
        <v>140164</v>
      </c>
      <c r="E23" s="304">
        <v>190615</v>
      </c>
      <c r="F23" s="304">
        <v>358278</v>
      </c>
      <c r="G23" s="305"/>
      <c r="H23" s="305"/>
      <c r="I23" s="305"/>
      <c r="J23" s="306"/>
      <c r="K23" s="307"/>
      <c r="Q23" s="259"/>
    </row>
    <row r="24" spans="1:17">
      <c r="A24" s="268" t="s">
        <v>72</v>
      </c>
      <c r="B24" s="304">
        <v>-19410</v>
      </c>
      <c r="C24" s="304">
        <v>-24874</v>
      </c>
      <c r="D24" s="304">
        <v>-41707</v>
      </c>
      <c r="E24" s="304">
        <v>-47770</v>
      </c>
      <c r="F24" s="304">
        <v>-87360</v>
      </c>
      <c r="G24" s="305"/>
      <c r="H24" s="305"/>
      <c r="I24" s="305"/>
      <c r="J24" s="306"/>
      <c r="K24" s="307"/>
      <c r="Q24" s="259"/>
    </row>
    <row r="25" spans="1:17">
      <c r="A25" s="271" t="s">
        <v>73</v>
      </c>
      <c r="B25" s="314">
        <v>43721</v>
      </c>
      <c r="C25" s="314">
        <v>63935</v>
      </c>
      <c r="D25" s="314">
        <v>98457</v>
      </c>
      <c r="E25" s="314">
        <v>142845</v>
      </c>
      <c r="F25" s="314">
        <v>270918</v>
      </c>
      <c r="G25" s="315">
        <f>F25*(1+G4)</f>
        <v>298009.80000000005</v>
      </c>
      <c r="H25" s="315">
        <f t="shared" ref="H25:K25" si="18">G25*(1+H4)</f>
        <v>327810.78000000009</v>
      </c>
      <c r="I25" s="315">
        <f t="shared" si="18"/>
        <v>360591.85800000012</v>
      </c>
      <c r="J25" s="316">
        <f t="shared" si="18"/>
        <v>396651.04380000016</v>
      </c>
      <c r="K25" s="317">
        <f t="shared" si="18"/>
        <v>436316.14818000019</v>
      </c>
      <c r="Q25" s="259"/>
    </row>
    <row r="26" spans="1:17">
      <c r="A26" s="271"/>
      <c r="B26" s="283"/>
      <c r="C26" s="283">
        <f>(C25-B25)/B25</f>
        <v>0.46234075158390703</v>
      </c>
      <c r="D26" s="283">
        <f t="shared" ref="D26:F26" si="19">(D25-C25)/C25</f>
        <v>0.53995464143270511</v>
      </c>
      <c r="E26" s="283">
        <f t="shared" si="19"/>
        <v>0.4508364057405771</v>
      </c>
      <c r="F26" s="283">
        <f t="shared" si="19"/>
        <v>0.89658720991284258</v>
      </c>
      <c r="G26" s="280"/>
      <c r="H26" s="280"/>
      <c r="I26" s="280"/>
      <c r="J26" s="277"/>
      <c r="K26" s="289"/>
      <c r="Q26" s="259"/>
    </row>
    <row r="27" spans="1:17">
      <c r="A27" s="268" t="s">
        <v>74</v>
      </c>
      <c r="B27" s="304">
        <v>-598</v>
      </c>
      <c r="C27" s="304">
        <v>-2478</v>
      </c>
      <c r="D27" s="304">
        <v>-1740</v>
      </c>
      <c r="E27" s="304">
        <v>-4190</v>
      </c>
      <c r="F27" s="304">
        <v>-13457</v>
      </c>
      <c r="G27" s="305"/>
      <c r="H27" s="305"/>
      <c r="I27" s="305"/>
      <c r="J27" s="306"/>
      <c r="K27" s="307"/>
      <c r="Q27" s="259"/>
    </row>
    <row r="28" spans="1:17">
      <c r="A28" s="268"/>
      <c r="B28" s="280"/>
      <c r="C28" s="283">
        <f>(C27-B27)/B27</f>
        <v>3.1438127090301005</v>
      </c>
      <c r="D28" s="283">
        <f t="shared" ref="D28:F28" si="20">(D27-C27)/C27</f>
        <v>-0.29782082324455206</v>
      </c>
      <c r="E28" s="283">
        <f t="shared" si="20"/>
        <v>1.4080459770114941</v>
      </c>
      <c r="F28" s="283">
        <f t="shared" si="20"/>
        <v>2.2116945107398567</v>
      </c>
      <c r="G28" s="279"/>
      <c r="H28" s="279"/>
      <c r="I28" s="279"/>
      <c r="J28" s="281"/>
      <c r="K28" s="282"/>
      <c r="Q28" s="259"/>
    </row>
    <row r="29" spans="1:17">
      <c r="A29" s="274" t="s">
        <v>75</v>
      </c>
      <c r="B29" s="318">
        <v>43123</v>
      </c>
      <c r="C29" s="318">
        <v>61457</v>
      </c>
      <c r="D29" s="318">
        <v>96717</v>
      </c>
      <c r="E29" s="318">
        <v>138655</v>
      </c>
      <c r="F29" s="318">
        <v>257461</v>
      </c>
      <c r="G29" s="318">
        <f>F29*(1+G4)</f>
        <v>283207.10000000003</v>
      </c>
      <c r="H29" s="318">
        <f t="shared" ref="H29:K29" si="21">G29*(1+H4)</f>
        <v>311527.81000000006</v>
      </c>
      <c r="I29" s="318">
        <f t="shared" si="21"/>
        <v>342680.59100000007</v>
      </c>
      <c r="J29" s="319">
        <f t="shared" si="21"/>
        <v>376948.65010000009</v>
      </c>
      <c r="K29" s="320">
        <f t="shared" si="21"/>
        <v>414643.51511000015</v>
      </c>
      <c r="Q29" s="263"/>
    </row>
    <row r="30" spans="1:17">
      <c r="A30" s="268"/>
      <c r="B30" s="304"/>
      <c r="C30" s="304">
        <f>(C29-B29)/B29</f>
        <v>0.42515594926141503</v>
      </c>
      <c r="D30" s="304">
        <f t="shared" ref="D30:F30" si="22">(D29-C29)/C29</f>
        <v>0.57373448101924918</v>
      </c>
      <c r="E30" s="304">
        <f t="shared" si="22"/>
        <v>0.43361560015302375</v>
      </c>
      <c r="F30" s="304">
        <f t="shared" si="22"/>
        <v>0.85684612888103562</v>
      </c>
      <c r="G30" s="305"/>
      <c r="H30" s="305"/>
      <c r="I30" s="305"/>
      <c r="J30" s="306"/>
      <c r="K30" s="307"/>
      <c r="Q30" s="259"/>
    </row>
    <row r="31" spans="1:17">
      <c r="A31" s="270" t="s">
        <v>394</v>
      </c>
      <c r="B31" s="311">
        <v>32785</v>
      </c>
      <c r="C31" s="311">
        <v>34201</v>
      </c>
      <c r="D31" s="311">
        <v>52066</v>
      </c>
      <c r="E31" s="311">
        <v>57403</v>
      </c>
      <c r="F31" s="311">
        <v>68410</v>
      </c>
      <c r="G31" s="311"/>
      <c r="H31" s="311"/>
      <c r="I31" s="311"/>
      <c r="J31" s="312"/>
      <c r="K31" s="313"/>
      <c r="Q31" s="259"/>
    </row>
    <row r="32" spans="1:17">
      <c r="A32" s="268"/>
      <c r="B32" s="305"/>
      <c r="C32" s="305">
        <f>(C31-B31)/B31</f>
        <v>4.3190483452798537E-2</v>
      </c>
      <c r="D32" s="305">
        <f t="shared" ref="D32:F32" si="23">(D31-C31)/C31</f>
        <v>0.52235314756878459</v>
      </c>
      <c r="E32" s="305">
        <f t="shared" si="23"/>
        <v>0.1025045135020935</v>
      </c>
      <c r="F32" s="305">
        <f t="shared" si="23"/>
        <v>0.19174956012751948</v>
      </c>
      <c r="G32" s="305"/>
      <c r="H32" s="305"/>
      <c r="I32" s="305"/>
      <c r="J32" s="306"/>
      <c r="K32" s="307"/>
    </row>
    <row r="33" spans="1:23">
      <c r="A33" s="271" t="s">
        <v>395</v>
      </c>
      <c r="B33" s="305">
        <f>B16+B31</f>
        <v>125400</v>
      </c>
      <c r="C33" s="305">
        <f t="shared" ref="C33:F33" si="24">C16+C31</f>
        <v>141212</v>
      </c>
      <c r="D33" s="305">
        <f t="shared" si="24"/>
        <v>211936</v>
      </c>
      <c r="E33" s="305">
        <f t="shared" si="24"/>
        <v>263198</v>
      </c>
      <c r="F33" s="305">
        <f t="shared" si="24"/>
        <v>333032</v>
      </c>
      <c r="G33" s="305"/>
      <c r="H33" s="305"/>
      <c r="I33" s="305"/>
      <c r="J33" s="306"/>
      <c r="K33" s="307"/>
    </row>
    <row r="34" spans="1:23">
      <c r="A34" s="268"/>
      <c r="B34" s="305"/>
      <c r="C34" s="305">
        <f>(C33-B33)/B33</f>
        <v>0.12609250398724084</v>
      </c>
      <c r="D34" s="305">
        <f t="shared" ref="D34:F34" si="25">(D33-C33)/C33</f>
        <v>0.5008356230348695</v>
      </c>
      <c r="E34" s="305">
        <f t="shared" si="25"/>
        <v>0.24187490563188888</v>
      </c>
      <c r="F34" s="305">
        <f t="shared" si="25"/>
        <v>0.26532876389638221</v>
      </c>
      <c r="G34" s="305"/>
      <c r="H34" s="305"/>
      <c r="I34" s="305"/>
      <c r="J34" s="306"/>
      <c r="K34" s="307"/>
    </row>
    <row r="35" spans="1:23">
      <c r="A35" s="270" t="s">
        <v>394</v>
      </c>
      <c r="B35" s="311">
        <v>32785</v>
      </c>
      <c r="C35" s="311">
        <v>34201</v>
      </c>
      <c r="D35" s="311">
        <v>52066</v>
      </c>
      <c r="E35" s="311">
        <v>57403</v>
      </c>
      <c r="F35" s="311">
        <v>68410</v>
      </c>
      <c r="G35" s="321">
        <f>F35*(1+G36)</f>
        <v>75251</v>
      </c>
      <c r="H35" s="321">
        <f t="shared" ref="H35:K35" si="26">G35*(1+H36)</f>
        <v>82776.100000000006</v>
      </c>
      <c r="I35" s="321">
        <f t="shared" si="26"/>
        <v>91053.710000000021</v>
      </c>
      <c r="J35" s="322">
        <f t="shared" si="26"/>
        <v>100159.08100000003</v>
      </c>
      <c r="K35" s="323">
        <f t="shared" si="26"/>
        <v>110174.98910000005</v>
      </c>
    </row>
    <row r="36" spans="1:23">
      <c r="A36" s="268"/>
      <c r="B36" s="279"/>
      <c r="C36" s="292">
        <f>(C35-B35)/B35</f>
        <v>4.3190483452798537E-2</v>
      </c>
      <c r="D36" s="292">
        <f t="shared" ref="D36" si="27">(D35-C35)/C35</f>
        <v>0.52235314756878459</v>
      </c>
      <c r="E36" s="292">
        <f t="shared" ref="E36" si="28">(E35-D35)/D35</f>
        <v>0.1025045135020935</v>
      </c>
      <c r="F36" s="292">
        <f t="shared" ref="F36" si="29">(F35-E35)/E35</f>
        <v>0.19174956012751948</v>
      </c>
      <c r="G36" s="292">
        <f>10%</f>
        <v>0.1</v>
      </c>
      <c r="H36" s="292">
        <f>10%</f>
        <v>0.1</v>
      </c>
      <c r="I36" s="292">
        <f>10%</f>
        <v>0.1</v>
      </c>
      <c r="J36" s="294">
        <f>10%</f>
        <v>0.1</v>
      </c>
      <c r="K36" s="295">
        <f>10%</f>
        <v>0.1</v>
      </c>
      <c r="M36" s="522" t="s">
        <v>396</v>
      </c>
      <c r="N36" s="523"/>
      <c r="O36" s="523"/>
      <c r="P36" s="523"/>
      <c r="Q36" s="523"/>
      <c r="R36" s="523"/>
      <c r="S36" s="523"/>
      <c r="T36" s="523"/>
      <c r="U36" s="523"/>
      <c r="V36" s="524"/>
    </row>
    <row r="37" spans="1:23">
      <c r="A37" s="268" t="s">
        <v>68</v>
      </c>
      <c r="B37" s="304">
        <v>29332</v>
      </c>
      <c r="C37" s="304">
        <v>19311</v>
      </c>
      <c r="D37" s="304">
        <v>20591</v>
      </c>
      <c r="E37" s="304">
        <v>29320</v>
      </c>
      <c r="F37" s="304">
        <v>25255</v>
      </c>
      <c r="G37" s="305">
        <f>F37*(1+G38)</f>
        <v>24749.899999999998</v>
      </c>
      <c r="H37" s="305">
        <f t="shared" ref="H37" si="30">G37*(1+H38)</f>
        <v>24254.901999999998</v>
      </c>
      <c r="I37" s="305">
        <f t="shared" ref="I37" si="31">H37*(1+I38)</f>
        <v>23769.803959999997</v>
      </c>
      <c r="J37" s="306">
        <f t="shared" ref="J37" si="32">I37*(1+J38)</f>
        <v>23294.407880799998</v>
      </c>
      <c r="K37" s="307">
        <f t="shared" ref="K37" si="33">J37*(1+K38)</f>
        <v>22828.519723183996</v>
      </c>
      <c r="M37" s="59"/>
    </row>
    <row r="38" spans="1:23">
      <c r="A38" s="268"/>
      <c r="B38" s="283"/>
      <c r="C38" s="283">
        <f>(C37-B37)/B37</f>
        <v>-0.34164052911495979</v>
      </c>
      <c r="D38" s="283">
        <f t="shared" ref="D38" si="34">(D37-C37)/C37</f>
        <v>6.6283465382424522E-2</v>
      </c>
      <c r="E38" s="283">
        <f t="shared" ref="E38" si="35">(E37-D37)/D37</f>
        <v>0.42392307318731487</v>
      </c>
      <c r="F38" s="283">
        <f t="shared" ref="F38" si="36">(F37-E37)/E37</f>
        <v>-0.13864256480218282</v>
      </c>
      <c r="G38" s="296">
        <f>-2%</f>
        <v>-0.02</v>
      </c>
      <c r="H38" s="292">
        <f t="shared" ref="H38:K38" si="37">-2%</f>
        <v>-0.02</v>
      </c>
      <c r="I38" s="296">
        <f t="shared" si="37"/>
        <v>-0.02</v>
      </c>
      <c r="J38" s="297">
        <f t="shared" si="37"/>
        <v>-0.02</v>
      </c>
      <c r="K38" s="298">
        <f t="shared" si="37"/>
        <v>-0.02</v>
      </c>
      <c r="M38" s="525" t="s">
        <v>397</v>
      </c>
      <c r="N38" s="526"/>
      <c r="O38" s="526"/>
      <c r="P38" s="526"/>
      <c r="Q38" s="526"/>
      <c r="R38" s="526"/>
      <c r="S38" s="526"/>
      <c r="T38" s="526"/>
      <c r="U38" s="526"/>
    </row>
    <row r="39" spans="1:23">
      <c r="A39" s="268" t="s">
        <v>398</v>
      </c>
      <c r="B39" s="292">
        <f>-B24/B23</f>
        <v>0.30745592498138791</v>
      </c>
      <c r="C39" s="292">
        <f t="shared" ref="C39:F39" si="38">-C24/C23</f>
        <v>0.28008422569784591</v>
      </c>
      <c r="D39" s="292">
        <f t="shared" si="38"/>
        <v>0.2975585742416027</v>
      </c>
      <c r="E39" s="292">
        <f t="shared" si="38"/>
        <v>0.25060986805865226</v>
      </c>
      <c r="F39" s="292">
        <f t="shared" si="38"/>
        <v>0.24383300118902082</v>
      </c>
      <c r="G39" s="292">
        <f>0.28</f>
        <v>0.28000000000000003</v>
      </c>
      <c r="H39" s="292">
        <f t="shared" ref="H39:K39" si="39">G39+H40</f>
        <v>0.28500000000000003</v>
      </c>
      <c r="I39" s="292">
        <f t="shared" si="39"/>
        <v>0.28500000000000003</v>
      </c>
      <c r="J39" s="294">
        <f t="shared" si="39"/>
        <v>0.28300000000000003</v>
      </c>
      <c r="K39" s="295">
        <f t="shared" si="39"/>
        <v>0.28000000000000003</v>
      </c>
      <c r="M39" s="59"/>
      <c r="Q39" s="2"/>
      <c r="W39" s="267"/>
    </row>
    <row r="40" spans="1:23">
      <c r="A40" s="268"/>
      <c r="B40" s="273"/>
      <c r="C40" s="273"/>
      <c r="D40" s="273"/>
      <c r="E40" s="273"/>
      <c r="F40" s="273"/>
      <c r="G40" s="292">
        <f>1%</f>
        <v>0.01</v>
      </c>
      <c r="H40" s="292">
        <f>0.5%</f>
        <v>5.0000000000000001E-3</v>
      </c>
      <c r="I40" s="292">
        <f>0%</f>
        <v>0</v>
      </c>
      <c r="J40" s="294">
        <f>-0.2%</f>
        <v>-2E-3</v>
      </c>
      <c r="K40" s="295">
        <v>-3.0000000000000001E-3</v>
      </c>
      <c r="M40" s="525" t="s">
        <v>399</v>
      </c>
      <c r="N40" s="526"/>
      <c r="O40" s="526"/>
      <c r="P40" s="526"/>
      <c r="Q40" s="526"/>
      <c r="R40" s="526"/>
      <c r="S40" s="526"/>
      <c r="T40" s="526"/>
      <c r="U40" s="526"/>
    </row>
    <row r="41" spans="1:23">
      <c r="A41" s="268" t="s">
        <v>400</v>
      </c>
      <c r="B41" s="305">
        <f>B37*(1-B39)</f>
        <v>20313.702808445927</v>
      </c>
      <c r="C41" s="305">
        <f t="shared" ref="C41:K41" si="40">C37*(1-C39)</f>
        <v>13902.293517548896</v>
      </c>
      <c r="D41" s="305">
        <f t="shared" si="40"/>
        <v>14463.971397791158</v>
      </c>
      <c r="E41" s="305">
        <f t="shared" si="40"/>
        <v>21972.118668520317</v>
      </c>
      <c r="F41" s="305">
        <f t="shared" si="40"/>
        <v>19096.99755497128</v>
      </c>
      <c r="G41" s="324">
        <f t="shared" si="40"/>
        <v>17819.927999999996</v>
      </c>
      <c r="H41" s="324">
        <f t="shared" si="40"/>
        <v>17342.254929999999</v>
      </c>
      <c r="I41" s="324">
        <f t="shared" si="40"/>
        <v>16995.409831399997</v>
      </c>
      <c r="J41" s="325">
        <f t="shared" si="40"/>
        <v>16702.090450533597</v>
      </c>
      <c r="K41" s="326">
        <f t="shared" si="40"/>
        <v>16436.534200692477</v>
      </c>
      <c r="M41" s="59"/>
    </row>
    <row r="42" spans="1:23">
      <c r="A42" s="268"/>
      <c r="B42" s="273"/>
      <c r="C42" s="273"/>
      <c r="D42" s="273"/>
      <c r="E42" s="273"/>
      <c r="F42" s="273"/>
      <c r="G42" s="273"/>
      <c r="H42" s="273"/>
      <c r="I42" s="273"/>
      <c r="J42" s="269"/>
      <c r="K42" s="293"/>
      <c r="M42" s="59"/>
    </row>
    <row r="43" spans="1:23">
      <c r="A43" s="268" t="s">
        <v>401</v>
      </c>
      <c r="B43" s="305">
        <v>361543</v>
      </c>
      <c r="C43" s="305">
        <v>434691</v>
      </c>
      <c r="D43" s="305">
        <v>597254</v>
      </c>
      <c r="E43" s="304">
        <v>847979</v>
      </c>
      <c r="F43" s="304">
        <v>1021880</v>
      </c>
      <c r="G43" s="305"/>
      <c r="H43" s="305"/>
      <c r="I43" s="305"/>
      <c r="J43" s="306"/>
      <c r="K43" s="307"/>
      <c r="M43" s="59"/>
    </row>
    <row r="44" spans="1:23">
      <c r="A44" s="268" t="s">
        <v>402</v>
      </c>
      <c r="B44" s="305">
        <v>321884</v>
      </c>
      <c r="C44" s="305">
        <v>351760</v>
      </c>
      <c r="D44" s="305">
        <v>446611</v>
      </c>
      <c r="E44" s="305">
        <v>678168</v>
      </c>
      <c r="F44" s="305">
        <v>741958</v>
      </c>
      <c r="G44" s="305"/>
      <c r="H44" s="305"/>
      <c r="I44" s="305"/>
      <c r="J44" s="306"/>
      <c r="K44" s="307"/>
      <c r="M44" s="59"/>
    </row>
    <row r="45" spans="1:23">
      <c r="A45" s="268" t="s">
        <v>403</v>
      </c>
      <c r="B45" s="305">
        <f>B43-B44</f>
        <v>39659</v>
      </c>
      <c r="C45" s="305">
        <f t="shared" ref="C45:F45" si="41">C43-C44</f>
        <v>82931</v>
      </c>
      <c r="D45" s="305">
        <f t="shared" si="41"/>
        <v>150643</v>
      </c>
      <c r="E45" s="305">
        <f t="shared" si="41"/>
        <v>169811</v>
      </c>
      <c r="F45" s="305">
        <f t="shared" si="41"/>
        <v>279922</v>
      </c>
      <c r="G45" s="305">
        <f>F45*(1+G46)</f>
        <v>285520.44</v>
      </c>
      <c r="H45" s="305">
        <f t="shared" ref="H45:K45" si="42">G45*(1+H46)</f>
        <v>291230.84880000004</v>
      </c>
      <c r="I45" s="305">
        <f t="shared" si="42"/>
        <v>294143.15728800005</v>
      </c>
      <c r="J45" s="306">
        <f t="shared" si="42"/>
        <v>288260.29414224002</v>
      </c>
      <c r="K45" s="307">
        <f t="shared" si="42"/>
        <v>282495.08825939521</v>
      </c>
      <c r="M45" s="59"/>
    </row>
    <row r="46" spans="1:23">
      <c r="A46" s="268"/>
      <c r="B46" s="273"/>
      <c r="C46" s="273"/>
      <c r="D46" s="273"/>
      <c r="E46" s="273"/>
      <c r="F46" s="273"/>
      <c r="G46" s="273">
        <f>2%</f>
        <v>0.02</v>
      </c>
      <c r="H46" s="273">
        <f>2%</f>
        <v>0.02</v>
      </c>
      <c r="I46" s="273">
        <f>1%</f>
        <v>0.01</v>
      </c>
      <c r="J46" s="269">
        <f>-2%</f>
        <v>-0.02</v>
      </c>
      <c r="K46" s="293">
        <f>-2%</f>
        <v>-0.02</v>
      </c>
      <c r="M46" s="522" t="s">
        <v>404</v>
      </c>
      <c r="N46" s="523"/>
      <c r="O46" s="523"/>
      <c r="P46" s="523"/>
      <c r="Q46" s="523"/>
      <c r="R46" s="523"/>
      <c r="S46" s="523"/>
      <c r="T46" s="523"/>
      <c r="U46" s="523"/>
      <c r="V46" s="523"/>
    </row>
    <row r="47" spans="1:23">
      <c r="A47" s="268" t="s">
        <v>405</v>
      </c>
      <c r="B47" s="305"/>
      <c r="C47" s="305">
        <f>C45-B45</f>
        <v>43272</v>
      </c>
      <c r="D47" s="305">
        <f t="shared" ref="D47:K47" si="43">D45-C45</f>
        <v>67712</v>
      </c>
      <c r="E47" s="305">
        <f t="shared" si="43"/>
        <v>19168</v>
      </c>
      <c r="F47" s="305">
        <f t="shared" si="43"/>
        <v>110111</v>
      </c>
      <c r="G47" s="324">
        <f t="shared" si="43"/>
        <v>5598.4400000000023</v>
      </c>
      <c r="H47" s="324">
        <f t="shared" si="43"/>
        <v>5710.4088000000338</v>
      </c>
      <c r="I47" s="324">
        <f t="shared" si="43"/>
        <v>2912.3084880000097</v>
      </c>
      <c r="J47" s="325">
        <f t="shared" si="43"/>
        <v>-5882.8631457600277</v>
      </c>
      <c r="K47" s="326">
        <f t="shared" si="43"/>
        <v>-5765.2058828448062</v>
      </c>
      <c r="M47" s="59"/>
    </row>
    <row r="48" spans="1:23">
      <c r="A48" s="268"/>
      <c r="B48" s="273"/>
      <c r="C48" s="273"/>
      <c r="D48" s="273"/>
      <c r="E48" s="273"/>
      <c r="F48" s="273"/>
      <c r="G48" s="273"/>
      <c r="H48" s="273"/>
      <c r="I48" s="273"/>
      <c r="J48" s="269"/>
      <c r="K48" s="293"/>
      <c r="M48" s="59"/>
    </row>
    <row r="49" spans="1:21">
      <c r="A49" s="268" t="s">
        <v>406</v>
      </c>
      <c r="B49" s="305">
        <v>43423</v>
      </c>
      <c r="C49" s="305">
        <v>111849</v>
      </c>
      <c r="D49" s="305">
        <v>63232</v>
      </c>
      <c r="E49" s="305">
        <v>85369</v>
      </c>
      <c r="F49" s="305">
        <v>60757</v>
      </c>
      <c r="G49" s="324">
        <f>F49*(1+G50)</f>
        <v>66832.700000000012</v>
      </c>
      <c r="H49" s="324">
        <f t="shared" ref="H49:K49" si="44">G49*(1+H50)</f>
        <v>73515.970000000016</v>
      </c>
      <c r="I49" s="324">
        <f t="shared" si="44"/>
        <v>80867.567000000025</v>
      </c>
      <c r="J49" s="325">
        <f t="shared" si="44"/>
        <v>88954.323700000037</v>
      </c>
      <c r="K49" s="326">
        <f t="shared" si="44"/>
        <v>97849.756070000047</v>
      </c>
      <c r="M49" s="59"/>
    </row>
    <row r="50" spans="1:21">
      <c r="A50" s="268"/>
      <c r="B50" s="273"/>
      <c r="C50" s="273"/>
      <c r="D50" s="273"/>
      <c r="E50" s="273"/>
      <c r="F50" s="273"/>
      <c r="G50" s="292">
        <f>10%</f>
        <v>0.1</v>
      </c>
      <c r="H50" s="292">
        <f>10%</f>
        <v>0.1</v>
      </c>
      <c r="I50" s="292">
        <f>10%</f>
        <v>0.1</v>
      </c>
      <c r="J50" s="294">
        <f>10%</f>
        <v>0.1</v>
      </c>
      <c r="K50" s="295">
        <f>10%</f>
        <v>0.1</v>
      </c>
      <c r="M50" s="522" t="s">
        <v>407</v>
      </c>
      <c r="N50" s="523"/>
      <c r="O50" s="523"/>
      <c r="P50" s="523"/>
      <c r="Q50" s="523"/>
      <c r="R50" s="523"/>
      <c r="S50" s="523"/>
      <c r="T50" s="523"/>
      <c r="U50" s="523"/>
    </row>
    <row r="51" spans="1:21">
      <c r="A51" s="270" t="s">
        <v>408</v>
      </c>
      <c r="B51" s="299"/>
      <c r="C51" s="299"/>
      <c r="D51" s="299"/>
      <c r="E51" s="299"/>
      <c r="F51" s="299"/>
      <c r="G51" s="299"/>
      <c r="H51" s="299"/>
      <c r="I51" s="299"/>
      <c r="J51" s="300"/>
      <c r="K51" s="301"/>
    </row>
    <row r="52" spans="1:21">
      <c r="A52" s="275" t="s">
        <v>409</v>
      </c>
      <c r="B52" s="327">
        <f>B29+B35+B41-B47-B49</f>
        <v>52798.702808445931</v>
      </c>
      <c r="C52" s="327">
        <f t="shared" ref="C52:K52" si="45">C29+C35+C41-C47-C49</f>
        <v>-45560.706482451104</v>
      </c>
      <c r="D52" s="327">
        <f t="shared" si="45"/>
        <v>32302.971397791145</v>
      </c>
      <c r="E52" s="327">
        <f t="shared" si="45"/>
        <v>113493.11866852033</v>
      </c>
      <c r="F52" s="327">
        <f t="shared" si="45"/>
        <v>174099.99755497125</v>
      </c>
      <c r="G52" s="328">
        <f>G29+G35+G41-G47-G49</f>
        <v>303846.88800000004</v>
      </c>
      <c r="H52" s="328">
        <f t="shared" si="45"/>
        <v>332419.78612999996</v>
      </c>
      <c r="I52" s="328">
        <f t="shared" si="45"/>
        <v>366949.83534340002</v>
      </c>
      <c r="J52" s="329">
        <f t="shared" si="45"/>
        <v>410738.36099629372</v>
      </c>
      <c r="K52" s="330">
        <f t="shared" si="45"/>
        <v>449170.4882235374</v>
      </c>
    </row>
    <row r="55" spans="1:21">
      <c r="H55" s="366"/>
      <c r="I55" s="366"/>
      <c r="J55" s="366"/>
      <c r="K55" s="366"/>
    </row>
    <row r="56" spans="1:21">
      <c r="H56" s="366"/>
    </row>
  </sheetData>
  <mergeCells count="6">
    <mergeCell ref="M50:U50"/>
    <mergeCell ref="M4:V4"/>
    <mergeCell ref="M36:V36"/>
    <mergeCell ref="M46:V46"/>
    <mergeCell ref="M38:U38"/>
    <mergeCell ref="M40:U40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3EF052-8385-4C6E-9066-B81B9830EAF2}">
  <sheetPr>
    <tabColor rgb="FFFFFF00"/>
  </sheetPr>
  <dimension ref="A2:AF28"/>
  <sheetViews>
    <sheetView workbookViewId="0">
      <selection activeCell="A13" sqref="A13"/>
    </sheetView>
  </sheetViews>
  <sheetFormatPr defaultRowHeight="15"/>
  <cols>
    <col min="1" max="1" width="15.140625" customWidth="1"/>
    <col min="2" max="2" width="57.42578125" customWidth="1"/>
    <col min="4" max="4" width="16.5703125" customWidth="1"/>
    <col min="6" max="6" width="13.85546875" customWidth="1"/>
    <col min="7" max="7" width="0" hidden="1" customWidth="1"/>
  </cols>
  <sheetData>
    <row r="2" spans="1:32" ht="15.75">
      <c r="A2" s="332"/>
      <c r="B2" s="332"/>
      <c r="C2" s="332"/>
      <c r="D2" s="332"/>
      <c r="E2" s="332"/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  <c r="Q2" s="332"/>
      <c r="R2" s="332"/>
      <c r="S2" s="332"/>
      <c r="T2" s="332"/>
      <c r="U2" s="332"/>
      <c r="V2" s="332"/>
      <c r="W2" s="332"/>
      <c r="X2" s="332"/>
      <c r="Y2" s="332"/>
      <c r="Z2" s="332"/>
      <c r="AA2" s="332"/>
      <c r="AB2" s="332"/>
      <c r="AC2" s="332"/>
      <c r="AD2" s="332"/>
      <c r="AE2" s="332"/>
      <c r="AF2" s="332"/>
    </row>
    <row r="3" spans="1:32" ht="15.75">
      <c r="A3" s="333" t="s">
        <v>410</v>
      </c>
      <c r="B3" s="335" t="s">
        <v>411</v>
      </c>
      <c r="C3" s="334" t="s">
        <v>412</v>
      </c>
      <c r="D3" s="334" t="s">
        <v>413</v>
      </c>
      <c r="E3" s="336">
        <f>C6+C7*C9</f>
        <v>0.10229690909090909</v>
      </c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  <c r="Q3" s="332"/>
      <c r="R3" s="332"/>
      <c r="S3" s="332"/>
      <c r="T3" s="332"/>
      <c r="U3" s="332"/>
      <c r="V3" s="332"/>
      <c r="W3" s="332"/>
      <c r="X3" s="332"/>
      <c r="Y3" s="332"/>
      <c r="Z3" s="332"/>
      <c r="AA3" s="332"/>
      <c r="AB3" s="332"/>
      <c r="AC3" s="332"/>
      <c r="AD3" s="332"/>
      <c r="AE3" s="332"/>
      <c r="AF3" s="332"/>
    </row>
    <row r="4" spans="1:32" ht="15.75">
      <c r="A4" s="337" t="s">
        <v>410</v>
      </c>
      <c r="B4" s="339" t="s">
        <v>411</v>
      </c>
      <c r="C4" s="338" t="s">
        <v>412</v>
      </c>
      <c r="D4" s="338" t="s">
        <v>414</v>
      </c>
      <c r="E4" s="340">
        <f>C6+C8*C9</f>
        <v>0.10489490909090909</v>
      </c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  <c r="Q4" s="332"/>
      <c r="R4" s="332"/>
      <c r="S4" s="332"/>
      <c r="T4" s="332"/>
      <c r="U4" s="332"/>
      <c r="V4" s="332"/>
      <c r="W4" s="332"/>
      <c r="X4" s="332"/>
      <c r="Y4" s="332"/>
      <c r="Z4" s="332"/>
      <c r="AA4" s="332"/>
      <c r="AB4" s="332"/>
      <c r="AC4" s="332"/>
      <c r="AD4" s="332"/>
      <c r="AE4" s="332"/>
      <c r="AF4" s="332"/>
    </row>
    <row r="5" spans="1:32" ht="15.75">
      <c r="A5" s="332"/>
      <c r="B5" s="332"/>
      <c r="C5" s="332"/>
      <c r="D5" s="332"/>
      <c r="E5" s="332"/>
      <c r="F5" s="332"/>
      <c r="G5" s="332"/>
      <c r="H5" s="332"/>
      <c r="I5" s="332"/>
      <c r="J5" s="332"/>
      <c r="K5" s="332"/>
      <c r="L5" s="332"/>
      <c r="M5" s="332"/>
      <c r="N5" s="332"/>
      <c r="O5" s="332"/>
      <c r="P5" s="332"/>
      <c r="Q5" s="332"/>
      <c r="R5" s="332"/>
      <c r="S5" s="332"/>
      <c r="T5" s="332"/>
      <c r="U5" s="332"/>
      <c r="V5" s="332"/>
      <c r="W5" s="332"/>
      <c r="X5" s="332"/>
      <c r="Y5" s="332"/>
      <c r="Z5" s="332"/>
      <c r="AA5" s="332"/>
      <c r="AB5" s="332"/>
      <c r="AC5" s="332"/>
      <c r="AD5" s="332"/>
      <c r="AE5" s="332"/>
      <c r="AF5" s="332"/>
    </row>
    <row r="6" spans="1:32" ht="15" customHeight="1">
      <c r="A6" s="358" t="s">
        <v>415</v>
      </c>
      <c r="B6" s="332" t="s">
        <v>416</v>
      </c>
      <c r="C6" s="341">
        <f>'10-yr BOND YEILD'!H1</f>
        <v>4.0810909090909099E-2</v>
      </c>
      <c r="D6" s="332"/>
      <c r="E6" s="499" t="s">
        <v>417</v>
      </c>
      <c r="F6" s="499"/>
      <c r="G6" s="499"/>
      <c r="H6" s="332"/>
      <c r="I6" s="332"/>
      <c r="J6" s="332"/>
      <c r="K6" s="332"/>
      <c r="L6" s="332"/>
      <c r="M6" s="332"/>
      <c r="N6" s="332"/>
      <c r="O6" s="332"/>
      <c r="P6" s="332"/>
      <c r="Q6" s="332"/>
      <c r="R6" s="332"/>
      <c r="S6" s="332"/>
      <c r="T6" s="332"/>
      <c r="U6" s="332"/>
      <c r="V6" s="332"/>
      <c r="W6" s="332"/>
      <c r="X6" s="332"/>
      <c r="Y6" s="332"/>
      <c r="Z6" s="332"/>
      <c r="AA6" s="332"/>
      <c r="AB6" s="332"/>
      <c r="AC6" s="332"/>
      <c r="AD6" s="332"/>
      <c r="AE6" s="332"/>
      <c r="AF6" s="332"/>
    </row>
    <row r="7" spans="1:32" ht="15" customHeight="1">
      <c r="A7" s="332"/>
      <c r="B7" s="332" t="s">
        <v>418</v>
      </c>
      <c r="C7" s="332">
        <v>1.42</v>
      </c>
      <c r="D7" s="332"/>
      <c r="E7" s="499" t="s">
        <v>419</v>
      </c>
      <c r="F7" s="499"/>
      <c r="G7" s="332"/>
      <c r="H7" s="332"/>
      <c r="I7" s="332"/>
      <c r="J7" s="332"/>
      <c r="K7" s="332"/>
      <c r="L7" s="332"/>
      <c r="M7" s="332"/>
      <c r="N7" s="332"/>
      <c r="O7" s="332"/>
      <c r="P7" s="332"/>
      <c r="Q7" s="332"/>
      <c r="R7" s="332"/>
      <c r="S7" s="332"/>
      <c r="T7" s="332"/>
      <c r="U7" s="332"/>
      <c r="V7" s="332"/>
      <c r="W7" s="332"/>
      <c r="X7" s="332"/>
      <c r="Y7" s="332"/>
      <c r="Z7" s="332"/>
      <c r="AA7" s="332"/>
      <c r="AB7" s="332"/>
      <c r="AC7" s="332"/>
      <c r="AD7" s="332"/>
      <c r="AE7" s="332"/>
      <c r="AF7" s="332"/>
    </row>
    <row r="8" spans="1:32" ht="15" customHeight="1">
      <c r="A8" s="332"/>
      <c r="B8" s="343" t="s">
        <v>418</v>
      </c>
      <c r="C8" s="343">
        <v>1.48</v>
      </c>
      <c r="D8" s="343" t="s">
        <v>412</v>
      </c>
      <c r="E8" s="357" t="s">
        <v>420</v>
      </c>
      <c r="F8" s="343" t="s">
        <v>412</v>
      </c>
      <c r="G8" s="343" t="s">
        <v>412</v>
      </c>
      <c r="H8" s="527"/>
      <c r="I8" s="527"/>
      <c r="J8" s="527"/>
      <c r="K8" s="527"/>
      <c r="L8" s="527"/>
      <c r="M8" s="527"/>
      <c r="N8" s="527"/>
      <c r="O8" s="527"/>
      <c r="P8" s="527"/>
      <c r="Q8" s="343" t="s">
        <v>412</v>
      </c>
      <c r="R8" s="343" t="s">
        <v>412</v>
      </c>
      <c r="S8" s="332"/>
      <c r="T8" s="332"/>
      <c r="U8" s="332"/>
      <c r="V8" s="332"/>
      <c r="W8" s="332"/>
      <c r="X8" s="332"/>
      <c r="Y8" s="332"/>
      <c r="Z8" s="332"/>
      <c r="AA8" s="332"/>
      <c r="AB8" s="332"/>
      <c r="AC8" s="332"/>
      <c r="AD8" s="332"/>
      <c r="AE8" s="332"/>
      <c r="AF8" s="332"/>
    </row>
    <row r="9" spans="1:32" ht="15" customHeight="1">
      <c r="A9" s="332"/>
      <c r="B9" s="332" t="s">
        <v>421</v>
      </c>
      <c r="C9" s="341">
        <v>4.3299999999999998E-2</v>
      </c>
      <c r="D9" s="332"/>
      <c r="E9" s="499" t="s">
        <v>422</v>
      </c>
      <c r="F9" s="499"/>
      <c r="G9" s="499"/>
      <c r="H9" s="499"/>
      <c r="I9" s="332"/>
      <c r="J9" s="332"/>
      <c r="K9" s="332"/>
      <c r="L9" s="332"/>
      <c r="M9" s="332"/>
      <c r="N9" s="332"/>
      <c r="O9" s="332"/>
      <c r="P9" s="332"/>
      <c r="Q9" s="332"/>
      <c r="R9" s="332"/>
      <c r="S9" s="332"/>
      <c r="T9" s="332"/>
      <c r="U9" s="332"/>
      <c r="V9" s="332"/>
      <c r="W9" s="332"/>
      <c r="X9" s="332"/>
      <c r="Y9" s="332"/>
      <c r="Z9" s="332"/>
      <c r="AA9" s="332"/>
      <c r="AB9" s="332"/>
      <c r="AC9" s="332"/>
      <c r="AD9" s="332"/>
      <c r="AE9" s="332"/>
      <c r="AF9" s="332"/>
    </row>
    <row r="10" spans="1:32" ht="15.75">
      <c r="A10" s="332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  <c r="Q10" s="332"/>
      <c r="R10" s="332"/>
      <c r="S10" s="332"/>
      <c r="T10" s="332"/>
      <c r="U10" s="332"/>
      <c r="V10" s="332"/>
      <c r="W10" s="332"/>
      <c r="X10" s="332"/>
      <c r="Y10" s="332"/>
      <c r="Z10" s="332"/>
      <c r="AA10" s="332"/>
      <c r="AB10" s="332"/>
      <c r="AC10" s="332"/>
      <c r="AD10" s="332"/>
      <c r="AE10" s="332"/>
      <c r="AF10" s="332"/>
    </row>
    <row r="11" spans="1:32" ht="15.75">
      <c r="A11" s="332"/>
      <c r="B11" s="332"/>
      <c r="C11" s="332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  <c r="Q11" s="332"/>
      <c r="R11" s="332"/>
      <c r="S11" s="332"/>
      <c r="T11" s="332"/>
      <c r="U11" s="332"/>
      <c r="V11" s="332"/>
      <c r="W11" s="332"/>
      <c r="X11" s="332"/>
      <c r="Y11" s="332"/>
      <c r="Z11" s="332"/>
      <c r="AA11" s="332"/>
      <c r="AB11" s="332"/>
      <c r="AC11" s="332"/>
      <c r="AD11" s="332"/>
      <c r="AE11" s="332"/>
      <c r="AF11" s="332"/>
    </row>
    <row r="12" spans="1:32" ht="15.75">
      <c r="A12" s="332"/>
      <c r="B12" s="332"/>
      <c r="C12" s="332"/>
      <c r="D12" s="332"/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  <c r="Q12" s="332"/>
      <c r="R12" s="332"/>
      <c r="S12" s="332"/>
      <c r="T12" s="332"/>
      <c r="U12" s="332"/>
      <c r="V12" s="332"/>
      <c r="W12" s="332"/>
      <c r="X12" s="332"/>
      <c r="Y12" s="332"/>
      <c r="Z12" s="332"/>
      <c r="AA12" s="332"/>
      <c r="AB12" s="332"/>
      <c r="AC12" s="332"/>
      <c r="AD12" s="332"/>
      <c r="AE12" s="332"/>
      <c r="AF12" s="332"/>
    </row>
    <row r="13" spans="1:32" ht="15.75">
      <c r="A13" s="333" t="s">
        <v>423</v>
      </c>
      <c r="B13" s="335" t="s">
        <v>424</v>
      </c>
      <c r="C13" s="334" t="s">
        <v>412</v>
      </c>
      <c r="D13" s="361">
        <f>C15*(1-C16)*C17/(C19+C15)+C19*C20/(C15+C19)</f>
        <v>9.2455708041333004E-2</v>
      </c>
      <c r="E13" s="332"/>
      <c r="F13" s="332"/>
      <c r="G13" s="332"/>
      <c r="H13" s="332"/>
      <c r="I13" s="332"/>
      <c r="J13" s="332"/>
      <c r="K13" s="332"/>
      <c r="L13" s="332"/>
      <c r="M13" s="332"/>
      <c r="N13" s="332"/>
      <c r="O13" s="332"/>
      <c r="P13" s="332"/>
      <c r="Q13" s="332"/>
      <c r="R13" s="332"/>
      <c r="S13" s="332"/>
      <c r="T13" s="332"/>
      <c r="U13" s="332"/>
      <c r="V13" s="332"/>
      <c r="W13" s="332"/>
      <c r="X13" s="332"/>
      <c r="Y13" s="332"/>
      <c r="Z13" s="332"/>
      <c r="AA13" s="332"/>
      <c r="AB13" s="332"/>
      <c r="AC13" s="332"/>
      <c r="AD13" s="332"/>
      <c r="AE13" s="332"/>
      <c r="AF13" s="332"/>
    </row>
    <row r="14" spans="1:32" ht="15.75">
      <c r="A14" s="332"/>
      <c r="B14" s="332"/>
      <c r="C14" s="332"/>
      <c r="D14" s="332"/>
      <c r="E14" s="332"/>
      <c r="F14" s="344"/>
      <c r="G14" s="332"/>
      <c r="H14" s="332"/>
      <c r="I14" s="332"/>
      <c r="J14" s="332"/>
      <c r="K14" s="332"/>
      <c r="L14" s="332"/>
      <c r="M14" s="332"/>
      <c r="N14" s="332"/>
      <c r="O14" s="332"/>
      <c r="P14" s="332"/>
      <c r="Q14" s="332"/>
      <c r="R14" s="332"/>
      <c r="S14" s="332"/>
      <c r="T14" s="332"/>
      <c r="U14" s="332"/>
      <c r="V14" s="332"/>
      <c r="W14" s="332"/>
      <c r="X14" s="332"/>
      <c r="Y14" s="332"/>
      <c r="Z14" s="332"/>
      <c r="AA14" s="332"/>
      <c r="AB14" s="332"/>
      <c r="AC14" s="332"/>
      <c r="AD14" s="332"/>
      <c r="AE14" s="332"/>
      <c r="AF14" s="332"/>
    </row>
    <row r="15" spans="1:32" ht="15.75">
      <c r="A15" s="332"/>
      <c r="B15" s="332" t="s">
        <v>425</v>
      </c>
      <c r="C15" s="359">
        <f>289898+26423</f>
        <v>316321</v>
      </c>
      <c r="D15" s="332" t="s">
        <v>426</v>
      </c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  <c r="Q15" s="332"/>
      <c r="R15" s="332"/>
      <c r="S15" s="332"/>
      <c r="T15" s="332"/>
      <c r="U15" s="332"/>
      <c r="V15" s="332"/>
      <c r="W15" s="332"/>
      <c r="X15" s="332"/>
      <c r="Y15" s="332"/>
      <c r="Z15" s="332"/>
      <c r="AA15" s="332"/>
      <c r="AB15" s="332"/>
      <c r="AC15" s="332"/>
      <c r="AD15" s="332"/>
      <c r="AE15" s="332"/>
      <c r="AF15" s="332"/>
    </row>
    <row r="16" spans="1:32" ht="15.75">
      <c r="A16" s="332"/>
      <c r="B16" s="332" t="s">
        <v>427</v>
      </c>
      <c r="C16" s="360">
        <v>0.24</v>
      </c>
      <c r="D16" s="332"/>
      <c r="E16" s="332"/>
      <c r="F16" s="332"/>
      <c r="G16" s="332"/>
      <c r="H16" s="332"/>
      <c r="I16" s="332"/>
      <c r="J16" s="332"/>
      <c r="K16" s="332"/>
      <c r="L16" s="332"/>
      <c r="M16" s="332"/>
      <c r="N16" s="332"/>
      <c r="O16" s="332"/>
      <c r="P16" s="332"/>
      <c r="Q16" s="332"/>
      <c r="R16" s="332"/>
      <c r="S16" s="332"/>
      <c r="T16" s="332"/>
      <c r="U16" s="332"/>
      <c r="V16" s="332"/>
      <c r="W16" s="332"/>
      <c r="X16" s="332"/>
      <c r="Y16" s="332"/>
      <c r="Z16" s="332"/>
      <c r="AA16" s="332"/>
      <c r="AB16" s="332"/>
      <c r="AC16" s="332"/>
      <c r="AD16" s="332"/>
      <c r="AE16" s="332"/>
      <c r="AF16" s="332"/>
    </row>
    <row r="17" spans="1:32" ht="15" customHeight="1">
      <c r="A17" s="332"/>
      <c r="B17" s="332" t="s">
        <v>428</v>
      </c>
      <c r="C17" s="341">
        <f>C25/C24</f>
        <v>7.9839783005238349E-2</v>
      </c>
      <c r="D17" s="332"/>
      <c r="E17" s="332"/>
      <c r="F17" s="332"/>
      <c r="G17" s="332"/>
      <c r="H17" s="528"/>
      <c r="I17" s="528"/>
      <c r="J17" s="528"/>
      <c r="K17" s="528"/>
      <c r="L17" s="332"/>
      <c r="M17" s="332"/>
      <c r="N17" s="332"/>
      <c r="O17" s="332"/>
      <c r="P17" s="332"/>
      <c r="Q17" s="332"/>
      <c r="R17" s="332"/>
      <c r="S17" s="332"/>
      <c r="T17" s="332"/>
      <c r="U17" s="332"/>
      <c r="V17" s="332"/>
      <c r="W17" s="332"/>
      <c r="X17" s="332"/>
      <c r="Y17" s="332"/>
      <c r="Z17" s="332"/>
      <c r="AA17" s="332"/>
      <c r="AB17" s="332"/>
      <c r="AC17" s="332"/>
      <c r="AD17" s="332"/>
      <c r="AE17" s="332"/>
      <c r="AF17" s="332"/>
    </row>
    <row r="18" spans="1:32" ht="15.75">
      <c r="A18" s="332"/>
      <c r="B18" s="332"/>
      <c r="C18" s="332"/>
      <c r="D18" s="332"/>
      <c r="E18" s="332"/>
      <c r="F18" s="345"/>
      <c r="G18" s="341"/>
      <c r="H18" s="341"/>
      <c r="I18" s="332"/>
      <c r="J18" s="332"/>
      <c r="K18" s="332"/>
      <c r="L18" s="332"/>
      <c r="M18" s="332"/>
      <c r="N18" s="332"/>
      <c r="O18" s="332"/>
      <c r="P18" s="332"/>
      <c r="Q18" s="332"/>
      <c r="R18" s="332"/>
      <c r="S18" s="332"/>
      <c r="T18" s="332"/>
      <c r="U18" s="332"/>
      <c r="V18" s="332"/>
      <c r="W18" s="332"/>
      <c r="X18" s="332"/>
      <c r="Y18" s="332"/>
      <c r="Z18" s="332"/>
      <c r="AA18" s="332"/>
      <c r="AB18" s="332"/>
      <c r="AC18" s="332"/>
      <c r="AD18" s="332"/>
      <c r="AE18" s="332"/>
      <c r="AF18" s="332"/>
    </row>
    <row r="19" spans="1:32" ht="15.75">
      <c r="A19" s="332"/>
      <c r="B19" s="332" t="s">
        <v>429</v>
      </c>
      <c r="C19" s="359">
        <v>808081</v>
      </c>
      <c r="D19" s="332" t="s">
        <v>430</v>
      </c>
      <c r="E19" s="332"/>
      <c r="F19" s="345"/>
      <c r="G19" s="341"/>
      <c r="H19" s="341"/>
      <c r="I19" s="332"/>
      <c r="J19" s="332"/>
      <c r="K19" s="332"/>
      <c r="L19" s="332"/>
      <c r="M19" s="332"/>
      <c r="N19" s="332"/>
      <c r="O19" s="345"/>
      <c r="P19" s="345"/>
      <c r="Q19" s="345"/>
      <c r="R19" s="345"/>
      <c r="S19" s="345"/>
      <c r="T19" s="345"/>
      <c r="U19" s="345"/>
      <c r="V19" s="332"/>
      <c r="W19" s="332"/>
      <c r="X19" s="332"/>
      <c r="Y19" s="332"/>
      <c r="Z19" s="332"/>
      <c r="AA19" s="332"/>
      <c r="AB19" s="332"/>
      <c r="AC19" s="332"/>
      <c r="AD19" s="332"/>
      <c r="AE19" s="332"/>
      <c r="AF19" s="332"/>
    </row>
    <row r="20" spans="1:32" ht="15.75">
      <c r="A20" s="332"/>
      <c r="B20" s="332" t="s">
        <v>431</v>
      </c>
      <c r="C20" s="341">
        <f>E4</f>
        <v>0.10489490909090909</v>
      </c>
      <c r="D20" s="332"/>
      <c r="E20" s="332"/>
      <c r="F20" s="345"/>
      <c r="G20" s="341"/>
      <c r="H20" s="341"/>
      <c r="I20" s="332"/>
      <c r="J20" s="332"/>
      <c r="K20" s="332"/>
      <c r="L20" s="332"/>
      <c r="M20" s="332"/>
      <c r="N20" s="332"/>
      <c r="O20" s="345"/>
      <c r="P20" s="332"/>
      <c r="Q20" s="332"/>
      <c r="R20" s="332"/>
      <c r="S20" s="332"/>
      <c r="T20" s="332"/>
      <c r="U20" s="332"/>
      <c r="V20" s="332"/>
      <c r="W20" s="332"/>
      <c r="X20" s="332"/>
      <c r="Y20" s="332"/>
      <c r="Z20" s="332"/>
      <c r="AA20" s="332"/>
      <c r="AB20" s="332"/>
      <c r="AC20" s="332"/>
      <c r="AD20" s="332"/>
      <c r="AE20" s="332"/>
      <c r="AF20" s="332"/>
    </row>
    <row r="21" spans="1:32" ht="15.75">
      <c r="A21" s="332"/>
      <c r="B21" s="332"/>
      <c r="C21" s="341"/>
      <c r="D21" s="332"/>
      <c r="E21" s="332"/>
      <c r="F21" s="345"/>
      <c r="G21" s="341"/>
      <c r="H21" s="341"/>
      <c r="I21" s="332"/>
      <c r="J21" s="332"/>
      <c r="K21" s="332"/>
      <c r="L21" s="332"/>
      <c r="M21" s="332"/>
      <c r="N21" s="332"/>
      <c r="O21" s="345"/>
      <c r="P21" s="332"/>
      <c r="Q21" s="332"/>
      <c r="R21" s="332"/>
      <c r="S21" s="332"/>
      <c r="T21" s="332"/>
      <c r="U21" s="332"/>
      <c r="V21" s="332"/>
      <c r="W21" s="332"/>
      <c r="X21" s="332"/>
      <c r="Y21" s="332"/>
      <c r="Z21" s="332"/>
      <c r="AA21" s="332"/>
      <c r="AB21" s="332"/>
      <c r="AC21" s="332"/>
      <c r="AD21" s="332"/>
      <c r="AE21" s="332"/>
      <c r="AF21" s="332"/>
    </row>
    <row r="22" spans="1:32" ht="15.75">
      <c r="A22" s="332"/>
      <c r="B22" s="332"/>
      <c r="C22" s="341"/>
      <c r="D22" s="332"/>
      <c r="E22" s="332"/>
      <c r="F22" s="345"/>
      <c r="G22" s="341"/>
      <c r="H22" s="341"/>
      <c r="I22" s="332"/>
      <c r="J22" s="332"/>
      <c r="K22" s="332"/>
      <c r="L22" s="332"/>
      <c r="M22" s="332"/>
      <c r="N22" s="332"/>
      <c r="O22" s="345"/>
      <c r="P22" s="332"/>
      <c r="Q22" s="332"/>
      <c r="R22" s="332"/>
      <c r="S22" s="332"/>
      <c r="T22" s="332"/>
      <c r="U22" s="332"/>
      <c r="V22" s="332"/>
      <c r="W22" s="332"/>
      <c r="X22" s="332"/>
      <c r="Y22" s="332"/>
      <c r="Z22" s="332"/>
      <c r="AA22" s="332"/>
      <c r="AB22" s="332"/>
      <c r="AC22" s="332"/>
      <c r="AD22" s="332"/>
      <c r="AE22" s="332"/>
      <c r="AF22" s="332"/>
    </row>
    <row r="23" spans="1:32" ht="15.75">
      <c r="A23" s="332"/>
      <c r="B23" s="332"/>
      <c r="C23" s="332"/>
      <c r="D23" s="332"/>
      <c r="E23" s="332"/>
      <c r="F23" s="345"/>
      <c r="G23" s="341"/>
      <c r="H23" s="341"/>
      <c r="I23" s="332"/>
      <c r="J23" s="332"/>
      <c r="K23" s="332"/>
      <c r="L23" s="332"/>
      <c r="M23" s="332"/>
      <c r="N23" s="332"/>
      <c r="O23" s="345"/>
      <c r="P23" s="332"/>
      <c r="Q23" s="332"/>
      <c r="R23" s="332"/>
      <c r="S23" s="332"/>
      <c r="T23" s="332"/>
      <c r="U23" s="332"/>
      <c r="V23" s="332"/>
      <c r="W23" s="332"/>
      <c r="X23" s="332"/>
      <c r="Y23" s="332"/>
      <c r="Z23" s="332"/>
      <c r="AA23" s="332"/>
      <c r="AB23" s="332"/>
      <c r="AC23" s="332"/>
      <c r="AD23" s="332"/>
      <c r="AE23" s="332"/>
      <c r="AF23" s="332"/>
    </row>
    <row r="24" spans="1:32" ht="15.75">
      <c r="A24" s="362" t="s">
        <v>432</v>
      </c>
      <c r="B24" s="332" t="s">
        <v>433</v>
      </c>
      <c r="C24" s="332">
        <f>26423+289898</f>
        <v>316321</v>
      </c>
      <c r="D24" s="332"/>
      <c r="E24" s="332"/>
      <c r="F24" s="345"/>
      <c r="G24" s="341"/>
      <c r="H24" s="341"/>
      <c r="I24" s="332"/>
      <c r="J24" s="332"/>
      <c r="K24" s="332"/>
      <c r="L24" s="332"/>
      <c r="M24" s="332"/>
      <c r="N24" s="332"/>
      <c r="O24" s="345"/>
      <c r="P24" s="332"/>
      <c r="Q24" s="332"/>
      <c r="R24" s="332"/>
      <c r="S24" s="332"/>
      <c r="T24" s="332"/>
      <c r="U24" s="332"/>
      <c r="V24" s="332"/>
      <c r="W24" s="332"/>
      <c r="X24" s="332"/>
      <c r="Y24" s="332"/>
      <c r="Z24" s="332"/>
      <c r="AA24" s="332"/>
      <c r="AB24" s="332"/>
      <c r="AC24" s="332"/>
      <c r="AD24" s="332"/>
      <c r="AE24" s="332"/>
      <c r="AF24" s="332"/>
    </row>
    <row r="25" spans="1:32" ht="15.75">
      <c r="A25" s="362" t="s">
        <v>432</v>
      </c>
      <c r="B25" s="332" t="s">
        <v>434</v>
      </c>
      <c r="C25" s="332">
        <v>25255</v>
      </c>
      <c r="D25" s="332"/>
      <c r="E25" s="332"/>
      <c r="F25" s="345"/>
      <c r="G25" s="341"/>
      <c r="H25" s="341"/>
      <c r="I25" s="332"/>
      <c r="J25" s="332"/>
      <c r="K25" s="332"/>
      <c r="L25" s="332"/>
      <c r="M25" s="332"/>
      <c r="N25" s="332"/>
      <c r="O25" s="345"/>
      <c r="P25" s="332"/>
      <c r="Q25" s="332"/>
      <c r="R25" s="332"/>
      <c r="S25" s="332"/>
      <c r="T25" s="332"/>
      <c r="U25" s="332"/>
      <c r="V25" s="332"/>
      <c r="W25" s="332"/>
      <c r="X25" s="332"/>
      <c r="Y25" s="332"/>
      <c r="Z25" s="332"/>
      <c r="AA25" s="332"/>
      <c r="AB25" s="332"/>
      <c r="AC25" s="332"/>
      <c r="AD25" s="332"/>
      <c r="AE25" s="332"/>
      <c r="AF25" s="332"/>
    </row>
    <row r="26" spans="1:32" ht="15.75">
      <c r="A26" s="362"/>
      <c r="B26" s="332"/>
      <c r="C26" s="332"/>
      <c r="D26" s="332"/>
      <c r="E26" s="332"/>
      <c r="F26" s="345"/>
      <c r="G26" s="341"/>
      <c r="H26" s="341"/>
      <c r="I26" s="332"/>
      <c r="J26" s="332"/>
      <c r="K26" s="332"/>
      <c r="L26" s="332"/>
      <c r="M26" s="332"/>
      <c r="N26" s="332"/>
      <c r="O26" s="345"/>
      <c r="P26" s="332"/>
      <c r="Q26" s="332"/>
      <c r="R26" s="332"/>
      <c r="S26" s="332"/>
      <c r="T26" s="332"/>
      <c r="U26" s="332"/>
      <c r="V26" s="332"/>
      <c r="W26" s="332"/>
      <c r="X26" s="332"/>
      <c r="Y26" s="332"/>
      <c r="Z26" s="332"/>
      <c r="AA26" s="332"/>
      <c r="AB26" s="332"/>
      <c r="AC26" s="332"/>
      <c r="AD26" s="332"/>
      <c r="AE26" s="332"/>
      <c r="AF26" s="332"/>
    </row>
    <row r="27" spans="1:32" ht="15.75">
      <c r="A27" s="362"/>
      <c r="B27" s="332"/>
      <c r="C27" s="332"/>
      <c r="D27" s="332"/>
      <c r="E27" s="332"/>
      <c r="F27" s="345"/>
      <c r="G27" s="341"/>
      <c r="H27" s="341"/>
      <c r="I27" s="332"/>
      <c r="J27" s="332"/>
      <c r="K27" s="332"/>
      <c r="L27" s="332"/>
      <c r="M27" s="332"/>
      <c r="N27" s="332"/>
      <c r="O27" s="345"/>
      <c r="P27" s="332"/>
      <c r="Q27" s="332"/>
      <c r="R27" s="332"/>
      <c r="S27" s="332"/>
      <c r="T27" s="332"/>
      <c r="U27" s="332"/>
      <c r="V27" s="332"/>
      <c r="W27" s="332"/>
      <c r="X27" s="332"/>
      <c r="Y27" s="332"/>
      <c r="Z27" s="332"/>
      <c r="AA27" s="332"/>
      <c r="AB27" s="332"/>
      <c r="AC27" s="332"/>
      <c r="AD27" s="332"/>
      <c r="AE27" s="332"/>
      <c r="AF27" s="332"/>
    </row>
    <row r="28" spans="1:32">
      <c r="A28" s="363"/>
    </row>
  </sheetData>
  <mergeCells count="5">
    <mergeCell ref="H17:K17"/>
    <mergeCell ref="E6:G6"/>
    <mergeCell ref="E7:F7"/>
    <mergeCell ref="H8:P8"/>
    <mergeCell ref="E9:H9"/>
  </mergeCells>
  <hyperlinks>
    <hyperlink ref="E6:G6" r:id="rId1" display="https://www.investing.com/rates-bonds/u.s.-10-year-bond-yield-historical-data" xr:uid="{97141FEC-6B61-423D-83D4-487FF810769C}"/>
    <hyperlink ref="E7:F7" r:id="rId2" display="https://www.barrons.com/market-data/stocks/strl?mod=quotes_search" xr:uid="{6C387C19-67A9-4ADB-9A07-318DCB355738}"/>
    <hyperlink ref="E8" r:id="rId3" xr:uid="{BECB4476-7E53-4842-A18D-FB59482FD9FB}"/>
    <hyperlink ref="E9:H9" r:id="rId4" display="https://pages.stern.nyu.edu/~adamodar/New_Home_Page/datafile/ctryprem.html" xr:uid="{9B0BC071-1B72-4528-AAA2-ECE36B151B40}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114AD90-5885-464D-82DC-74F5F8A255A8}">
  <sheetPr>
    <tabColor rgb="FFFFFF00"/>
  </sheetPr>
  <dimension ref="A1:P32"/>
  <sheetViews>
    <sheetView workbookViewId="0">
      <selection activeCell="D12" sqref="D12"/>
    </sheetView>
  </sheetViews>
  <sheetFormatPr defaultRowHeight="15"/>
  <cols>
    <col min="1" max="1" width="14.85546875" customWidth="1"/>
    <col min="2" max="2" width="42.85546875" customWidth="1"/>
    <col min="3" max="3" width="10.28515625" bestFit="1" customWidth="1"/>
    <col min="4" max="4" width="14.5703125" customWidth="1"/>
  </cols>
  <sheetData>
    <row r="1" spans="1:16" ht="15.75">
      <c r="A1" s="332"/>
      <c r="B1" s="332"/>
      <c r="C1" s="332"/>
      <c r="D1" s="332"/>
      <c r="E1" s="332"/>
      <c r="F1" s="332"/>
      <c r="G1" s="332"/>
      <c r="H1" s="332"/>
      <c r="I1" s="332"/>
      <c r="J1" s="332"/>
      <c r="K1" s="332"/>
      <c r="L1" s="332"/>
      <c r="M1" s="332"/>
      <c r="N1" s="332"/>
      <c r="O1" s="332"/>
      <c r="P1" s="332"/>
    </row>
    <row r="2" spans="1:16" ht="15.75">
      <c r="A2" s="333" t="s">
        <v>410</v>
      </c>
      <c r="B2" s="335" t="s">
        <v>411</v>
      </c>
      <c r="C2" s="334" t="s">
        <v>412</v>
      </c>
      <c r="D2" s="334" t="s">
        <v>413</v>
      </c>
      <c r="E2" s="336">
        <f>C5+C6*C8</f>
        <v>0.10229690909090909</v>
      </c>
      <c r="F2" s="332"/>
      <c r="G2" s="332"/>
      <c r="H2" s="332"/>
      <c r="I2" s="332"/>
      <c r="J2" s="332"/>
      <c r="K2" s="332"/>
      <c r="L2" s="332"/>
      <c r="M2" s="332"/>
      <c r="N2" s="332"/>
      <c r="O2" s="332"/>
      <c r="P2" s="332"/>
    </row>
    <row r="3" spans="1:16" ht="15.75">
      <c r="A3" s="337" t="s">
        <v>410</v>
      </c>
      <c r="B3" s="339" t="s">
        <v>411</v>
      </c>
      <c r="C3" s="338" t="s">
        <v>412</v>
      </c>
      <c r="D3" s="338" t="s">
        <v>414</v>
      </c>
      <c r="E3" s="340">
        <f>C5+C7*C8</f>
        <v>0.10489490909090909</v>
      </c>
      <c r="F3" s="332"/>
      <c r="G3" s="332"/>
      <c r="H3" s="332"/>
      <c r="I3" s="332"/>
      <c r="J3" s="332"/>
      <c r="K3" s="332"/>
      <c r="L3" s="332"/>
      <c r="M3" s="332"/>
      <c r="N3" s="332"/>
      <c r="O3" s="332"/>
      <c r="P3" s="332"/>
    </row>
    <row r="4" spans="1:16" ht="15.75">
      <c r="A4" s="332"/>
      <c r="B4" s="332"/>
      <c r="C4" s="332"/>
      <c r="D4" s="332"/>
      <c r="E4" s="332"/>
      <c r="F4" s="332"/>
      <c r="G4" s="332"/>
      <c r="H4" s="332"/>
      <c r="I4" s="332"/>
      <c r="J4" s="332"/>
      <c r="K4" s="332"/>
      <c r="L4" s="332"/>
      <c r="M4" s="332"/>
      <c r="N4" s="332"/>
      <c r="O4" s="332"/>
      <c r="P4" s="332"/>
    </row>
    <row r="5" spans="1:16" ht="15.75">
      <c r="A5" s="358" t="s">
        <v>415</v>
      </c>
      <c r="B5" s="332" t="s">
        <v>416</v>
      </c>
      <c r="C5" s="341">
        <f>'10-yr BOND YEILD'!H1</f>
        <v>4.0810909090909099E-2</v>
      </c>
      <c r="D5" s="332"/>
      <c r="E5" s="499" t="s">
        <v>417</v>
      </c>
      <c r="F5" s="499"/>
      <c r="G5" s="499"/>
      <c r="H5" s="332"/>
      <c r="I5" s="332"/>
      <c r="J5" s="332"/>
      <c r="K5" s="332"/>
      <c r="L5" s="332"/>
      <c r="M5" s="332"/>
      <c r="N5" s="332"/>
      <c r="O5" s="332"/>
      <c r="P5" s="332"/>
    </row>
    <row r="6" spans="1:16" ht="15.75">
      <c r="A6" s="332"/>
      <c r="B6" s="332" t="s">
        <v>418</v>
      </c>
      <c r="C6" s="332">
        <v>1.42</v>
      </c>
      <c r="D6" s="332"/>
      <c r="E6" s="499" t="s">
        <v>419</v>
      </c>
      <c r="F6" s="499"/>
      <c r="G6" s="332"/>
      <c r="H6" s="332"/>
      <c r="I6" s="332"/>
      <c r="J6" s="332"/>
      <c r="K6" s="332"/>
      <c r="L6" s="332"/>
      <c r="M6" s="332"/>
      <c r="N6" s="332"/>
      <c r="O6" s="332"/>
      <c r="P6" s="332"/>
    </row>
    <row r="7" spans="1:16" ht="15.75">
      <c r="A7" s="332"/>
      <c r="B7" s="343" t="s">
        <v>418</v>
      </c>
      <c r="C7" s="343">
        <v>1.48</v>
      </c>
      <c r="D7" s="343" t="s">
        <v>412</v>
      </c>
      <c r="E7" s="357" t="s">
        <v>420</v>
      </c>
      <c r="F7" s="343" t="s">
        <v>412</v>
      </c>
      <c r="G7" s="343" t="s">
        <v>412</v>
      </c>
      <c r="H7" s="527"/>
      <c r="I7" s="527"/>
      <c r="J7" s="527"/>
      <c r="K7" s="527"/>
      <c r="L7" s="527"/>
      <c r="M7" s="527"/>
      <c r="N7" s="527"/>
      <c r="O7" s="527"/>
      <c r="P7" s="527"/>
    </row>
    <row r="8" spans="1:16" ht="15.75">
      <c r="A8" s="332"/>
      <c r="B8" s="332" t="s">
        <v>421</v>
      </c>
      <c r="C8" s="341">
        <v>4.3299999999999998E-2</v>
      </c>
      <c r="D8" s="332"/>
      <c r="E8" s="499" t="s">
        <v>422</v>
      </c>
      <c r="F8" s="499"/>
      <c r="G8" s="499"/>
      <c r="H8" s="499"/>
      <c r="I8" s="332"/>
      <c r="J8" s="332"/>
      <c r="K8" s="332"/>
      <c r="L8" s="332"/>
      <c r="M8" s="332"/>
      <c r="N8" s="332"/>
      <c r="O8" s="332"/>
      <c r="P8" s="332"/>
    </row>
    <row r="9" spans="1:16" ht="15.75">
      <c r="A9" s="332"/>
      <c r="B9" s="332"/>
      <c r="C9" s="332"/>
      <c r="D9" s="332"/>
      <c r="E9" s="332"/>
      <c r="F9" s="332"/>
      <c r="G9" s="332"/>
      <c r="H9" s="332"/>
      <c r="I9" s="332"/>
      <c r="J9" s="332"/>
      <c r="K9" s="332"/>
      <c r="L9" s="332"/>
      <c r="M9" s="332"/>
      <c r="N9" s="332"/>
      <c r="O9" s="332"/>
      <c r="P9" s="332"/>
    </row>
    <row r="10" spans="1:16" ht="15.75">
      <c r="A10" s="332"/>
      <c r="B10" s="332"/>
      <c r="C10" s="332"/>
      <c r="D10" s="332"/>
      <c r="E10" s="332"/>
      <c r="F10" s="332"/>
      <c r="G10" s="332"/>
      <c r="H10" s="332"/>
      <c r="I10" s="332"/>
      <c r="J10" s="332"/>
      <c r="K10" s="332"/>
      <c r="L10" s="332"/>
      <c r="M10" s="332"/>
      <c r="N10" s="332"/>
      <c r="O10" s="332"/>
      <c r="P10" s="332"/>
    </row>
    <row r="11" spans="1:16" ht="15.75">
      <c r="A11" s="332"/>
      <c r="B11" s="332"/>
      <c r="C11" s="332"/>
      <c r="D11" s="332"/>
      <c r="E11" s="332"/>
      <c r="F11" s="332"/>
      <c r="G11" s="332"/>
      <c r="H11" s="332"/>
      <c r="I11" s="332"/>
      <c r="J11" s="332"/>
      <c r="K11" s="332"/>
      <c r="L11" s="332"/>
      <c r="M11" s="332"/>
      <c r="N11" s="332"/>
      <c r="O11" s="332"/>
      <c r="P11" s="332"/>
    </row>
    <row r="12" spans="1:16" ht="15.75">
      <c r="A12" s="333" t="s">
        <v>423</v>
      </c>
      <c r="B12" s="335" t="s">
        <v>424</v>
      </c>
      <c r="C12" s="334" t="s">
        <v>412</v>
      </c>
      <c r="D12" s="361">
        <f>C14*(1-C15)*C16/(C18+C14)+C18*C19/(C14+C18)</f>
        <v>9.2888523289155728E-2</v>
      </c>
      <c r="E12" s="332"/>
      <c r="F12" s="332"/>
      <c r="G12" s="332"/>
      <c r="H12" s="332"/>
      <c r="I12" s="332"/>
      <c r="J12" s="332"/>
      <c r="K12" s="332"/>
      <c r="L12" s="332"/>
      <c r="M12" s="332"/>
      <c r="N12" s="332"/>
      <c r="O12" s="332"/>
      <c r="P12" s="332"/>
    </row>
    <row r="13" spans="1:16" ht="15.75">
      <c r="A13" s="332"/>
      <c r="B13" s="332"/>
      <c r="C13" s="332"/>
      <c r="D13" s="332"/>
      <c r="E13" s="332"/>
      <c r="F13" s="344"/>
      <c r="G13" s="332"/>
      <c r="H13" s="332"/>
      <c r="I13" s="332"/>
      <c r="J13" s="332"/>
      <c r="K13" s="332"/>
      <c r="L13" s="332"/>
      <c r="M13" s="332"/>
      <c r="N13" s="332"/>
      <c r="O13" s="332"/>
      <c r="P13" s="332"/>
    </row>
    <row r="14" spans="1:16" ht="61.5">
      <c r="A14" s="364" t="s">
        <v>435</v>
      </c>
      <c r="B14" s="332" t="s">
        <v>425</v>
      </c>
      <c r="C14" s="359">
        <f>279479+15154</f>
        <v>294633</v>
      </c>
      <c r="D14" s="332" t="s">
        <v>426</v>
      </c>
      <c r="E14" s="332"/>
      <c r="F14" s="332"/>
      <c r="G14" s="332"/>
      <c r="H14" s="332"/>
      <c r="I14" s="332"/>
      <c r="J14" s="332"/>
      <c r="K14" s="332"/>
      <c r="L14" s="332"/>
      <c r="M14" s="332"/>
      <c r="N14" s="332"/>
      <c r="O14" s="332"/>
      <c r="P14" s="332"/>
    </row>
    <row r="15" spans="1:16" ht="15.75">
      <c r="A15" s="342" t="s">
        <v>436</v>
      </c>
      <c r="B15" s="332" t="s">
        <v>427</v>
      </c>
      <c r="C15" s="360">
        <v>0.24</v>
      </c>
      <c r="D15" s="332"/>
      <c r="E15" s="332"/>
      <c r="F15" s="332"/>
      <c r="G15" s="332"/>
      <c r="H15" s="332"/>
      <c r="I15" s="332"/>
      <c r="J15" s="332"/>
      <c r="K15" s="332"/>
      <c r="L15" s="332"/>
      <c r="M15" s="332"/>
      <c r="N15" s="332"/>
      <c r="O15" s="332"/>
      <c r="P15" s="332"/>
    </row>
    <row r="16" spans="1:16" ht="15.75">
      <c r="A16" s="332"/>
      <c r="B16" s="332" t="s">
        <v>428</v>
      </c>
      <c r="C16" s="341">
        <f>C24/C23</f>
        <v>6.586159730919483E-2</v>
      </c>
      <c r="D16" s="332"/>
      <c r="E16" s="332"/>
      <c r="F16" s="332"/>
      <c r="G16" s="332"/>
      <c r="H16" s="528"/>
      <c r="I16" s="528"/>
      <c r="J16" s="528"/>
      <c r="K16" s="528"/>
      <c r="L16" s="332"/>
      <c r="M16" s="332"/>
      <c r="N16" s="332"/>
      <c r="O16" s="332"/>
      <c r="P16" s="332"/>
    </row>
    <row r="17" spans="1:16" ht="15.75">
      <c r="A17" s="332"/>
      <c r="B17" s="332"/>
      <c r="C17" s="332"/>
      <c r="D17" s="332"/>
      <c r="E17" s="332"/>
      <c r="F17" s="345"/>
      <c r="G17" s="341"/>
      <c r="H17" s="341"/>
      <c r="I17" s="332"/>
      <c r="J17" s="332"/>
      <c r="K17" s="332"/>
      <c r="L17" s="332"/>
      <c r="M17" s="332"/>
      <c r="N17" s="332"/>
      <c r="O17" s="332"/>
      <c r="P17" s="332"/>
    </row>
    <row r="18" spans="1:16" ht="15.75">
      <c r="A18" s="332"/>
      <c r="B18" s="332" t="s">
        <v>429</v>
      </c>
      <c r="C18" s="359">
        <v>1051126</v>
      </c>
      <c r="D18" s="332" t="s">
        <v>430</v>
      </c>
      <c r="E18" s="332"/>
      <c r="F18" s="345"/>
      <c r="G18" s="341"/>
      <c r="H18" s="341"/>
      <c r="I18" s="332"/>
      <c r="J18" s="332"/>
      <c r="K18" s="332"/>
      <c r="L18" s="332"/>
      <c r="M18" s="332"/>
      <c r="N18" s="332"/>
      <c r="O18" s="345"/>
      <c r="P18" s="345"/>
    </row>
    <row r="19" spans="1:16" ht="15.75">
      <c r="A19" s="332"/>
      <c r="B19" s="332" t="s">
        <v>431</v>
      </c>
      <c r="C19" s="341">
        <f>E3</f>
        <v>0.10489490909090909</v>
      </c>
      <c r="D19" s="332"/>
      <c r="E19" s="332"/>
      <c r="F19" s="345"/>
      <c r="G19" s="341"/>
      <c r="H19" s="341"/>
      <c r="I19" s="332"/>
      <c r="J19" s="332"/>
      <c r="K19" s="332"/>
      <c r="L19" s="332"/>
      <c r="M19" s="332"/>
      <c r="N19" s="332"/>
      <c r="O19" s="345"/>
      <c r="P19" s="332"/>
    </row>
    <row r="20" spans="1:16" ht="15.75">
      <c r="A20" s="332"/>
      <c r="B20" s="332"/>
      <c r="C20" s="341"/>
      <c r="D20" s="332"/>
      <c r="E20" s="332"/>
      <c r="F20" s="345"/>
      <c r="G20" s="341"/>
      <c r="H20" s="341"/>
      <c r="I20" s="332"/>
      <c r="J20" s="332"/>
      <c r="K20" s="332"/>
      <c r="L20" s="332"/>
      <c r="M20" s="332"/>
      <c r="N20" s="332"/>
      <c r="O20" s="345"/>
      <c r="P20" s="332"/>
    </row>
    <row r="21" spans="1:16" ht="15.75">
      <c r="A21" s="332"/>
      <c r="B21" s="332"/>
      <c r="C21" s="341"/>
      <c r="D21" s="332"/>
      <c r="E21" s="332"/>
      <c r="F21" s="345"/>
      <c r="G21" s="341"/>
      <c r="H21" s="341"/>
      <c r="I21" s="332"/>
      <c r="J21" s="332"/>
      <c r="K21" s="332"/>
      <c r="L21" s="332"/>
      <c r="M21" s="332"/>
      <c r="N21" s="332"/>
      <c r="O21" s="345"/>
      <c r="P21" s="332"/>
    </row>
    <row r="22" spans="1:16" ht="15.75">
      <c r="A22" s="332"/>
      <c r="B22" s="332"/>
      <c r="C22" s="332"/>
      <c r="D22" s="332"/>
      <c r="E22" s="332"/>
      <c r="F22" s="345"/>
      <c r="G22" s="341"/>
      <c r="H22" s="341"/>
      <c r="I22" s="332"/>
      <c r="J22" s="332"/>
      <c r="K22" s="332"/>
      <c r="L22" s="332"/>
      <c r="M22" s="332"/>
      <c r="N22" s="332"/>
      <c r="O22" s="345"/>
      <c r="P22" s="332"/>
    </row>
    <row r="23" spans="1:16" ht="15.75">
      <c r="A23" s="362" t="s">
        <v>432</v>
      </c>
      <c r="B23" s="332" t="s">
        <v>433</v>
      </c>
      <c r="C23" s="359">
        <f>279479+15154</f>
        <v>294633</v>
      </c>
      <c r="D23" s="332"/>
      <c r="E23" s="332"/>
      <c r="F23" s="345"/>
      <c r="G23" s="341"/>
      <c r="H23" s="341"/>
      <c r="I23" s="332"/>
      <c r="J23" s="332"/>
      <c r="K23" s="332"/>
      <c r="L23" s="332"/>
      <c r="M23" s="332"/>
      <c r="N23" s="332"/>
      <c r="O23" s="345"/>
      <c r="P23" s="332"/>
    </row>
    <row r="24" spans="1:16" ht="15.75">
      <c r="A24" s="362" t="s">
        <v>432</v>
      </c>
      <c r="B24" s="332" t="s">
        <v>434</v>
      </c>
      <c r="C24" s="332">
        <v>19405</v>
      </c>
      <c r="D24" s="332"/>
      <c r="E24" s="332"/>
      <c r="F24" s="345"/>
      <c r="G24" s="341"/>
      <c r="H24" s="341"/>
      <c r="I24" s="332"/>
      <c r="J24" s="332"/>
      <c r="K24" s="332"/>
      <c r="L24" s="332"/>
      <c r="M24" s="332"/>
      <c r="N24" s="332"/>
      <c r="O24" s="345"/>
      <c r="P24" s="332"/>
    </row>
    <row r="25" spans="1:16" ht="15.75">
      <c r="A25" s="362"/>
      <c r="B25" s="332"/>
      <c r="C25" s="332"/>
      <c r="D25" s="332"/>
      <c r="E25" s="332"/>
      <c r="F25" s="345"/>
      <c r="G25" s="341"/>
      <c r="H25" s="341"/>
      <c r="I25" s="332"/>
      <c r="J25" s="332"/>
      <c r="K25" s="332"/>
      <c r="L25" s="332"/>
      <c r="M25" s="332"/>
      <c r="N25" s="332"/>
      <c r="O25" s="345"/>
      <c r="P25" s="332"/>
    </row>
    <row r="26" spans="1:16" ht="15.75">
      <c r="A26" s="362"/>
      <c r="B26" s="332"/>
      <c r="C26" s="332"/>
      <c r="D26" s="332"/>
      <c r="E26" s="332"/>
      <c r="F26" s="345"/>
      <c r="G26" s="341"/>
      <c r="H26" s="341"/>
      <c r="I26" s="332"/>
      <c r="J26" s="332"/>
      <c r="K26" s="332"/>
      <c r="L26" s="332"/>
      <c r="M26" s="332"/>
      <c r="N26" s="332"/>
      <c r="O26" s="345"/>
      <c r="P26" s="332"/>
    </row>
    <row r="27" spans="1:16" ht="15.75">
      <c r="A27" s="362" t="s">
        <v>70</v>
      </c>
      <c r="B27" s="332" t="s">
        <v>437</v>
      </c>
      <c r="C27" s="332"/>
      <c r="D27" s="332"/>
      <c r="E27" s="332"/>
      <c r="F27" s="345"/>
      <c r="G27" s="341"/>
      <c r="H27" s="341"/>
      <c r="I27" s="332"/>
      <c r="J27" s="332"/>
      <c r="K27" s="332"/>
      <c r="L27" s="332"/>
      <c r="M27" s="332"/>
      <c r="N27" s="332"/>
      <c r="O27" s="345"/>
      <c r="P27" s="332"/>
    </row>
    <row r="28" spans="1:16" ht="15.75">
      <c r="A28" s="362" t="s">
        <v>70</v>
      </c>
      <c r="B28" s="332" t="s">
        <v>438</v>
      </c>
      <c r="C28" s="332"/>
      <c r="D28" s="332"/>
      <c r="E28" s="332"/>
      <c r="F28" s="332"/>
      <c r="G28" s="344"/>
      <c r="H28" s="332"/>
      <c r="I28" s="332"/>
      <c r="J28" s="332"/>
      <c r="K28" s="332"/>
      <c r="L28" s="332"/>
      <c r="M28" s="332"/>
      <c r="N28" s="332"/>
      <c r="O28" s="332"/>
      <c r="P28" s="332"/>
    </row>
    <row r="29" spans="1:16" ht="15.75">
      <c r="A29" s="363" t="s">
        <v>70</v>
      </c>
      <c r="B29" s="332" t="s">
        <v>439</v>
      </c>
    </row>
    <row r="30" spans="1:16" ht="15.75">
      <c r="A30" s="363" t="s">
        <v>70</v>
      </c>
      <c r="B30" s="332" t="s">
        <v>440</v>
      </c>
    </row>
    <row r="31" spans="1:16" ht="15.75">
      <c r="A31" s="363" t="s">
        <v>70</v>
      </c>
      <c r="B31" s="332" t="s">
        <v>441</v>
      </c>
    </row>
    <row r="32" spans="1:16">
      <c r="A32" s="363"/>
    </row>
  </sheetData>
  <mergeCells count="5">
    <mergeCell ref="E5:G5"/>
    <mergeCell ref="E6:F6"/>
    <mergeCell ref="H7:P7"/>
    <mergeCell ref="E8:H8"/>
    <mergeCell ref="H16:K16"/>
  </mergeCells>
  <hyperlinks>
    <hyperlink ref="E5:G5" r:id="rId1" display="https://www.investing.com/rates-bonds/u.s.-10-year-bond-yield-historical-data" xr:uid="{B2867AB8-1F1E-44B1-925F-6B964089A2E8}"/>
    <hyperlink ref="E6:F6" r:id="rId2" display="https://www.barrons.com/market-data/stocks/strl?mod=quotes_search" xr:uid="{175013C5-08A4-438A-9002-3DF9163A620E}"/>
    <hyperlink ref="E7" r:id="rId3" xr:uid="{0A53295C-EE50-4882-B4E8-C4AB32FBBCB7}"/>
    <hyperlink ref="E8:H8" r:id="rId4" display="https://pages.stern.nyu.edu/~adamodar/New_Home_Page/datafile/ctryprem.html" xr:uid="{F20EFFB8-25B8-477D-993F-10D9AD78587F}"/>
    <hyperlink ref="A15" r:id="rId5" location="i31862837a4e34d98ad720a16217e8575_16" xr:uid="{BFD808BB-8BFF-48BF-93A8-B2DCBCCD451E}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D1EB8F8-6F30-4357-A4E2-AB005A971556}">
  <sheetPr>
    <tabColor rgb="FFFFFF00"/>
  </sheetPr>
  <dimension ref="A2:C5"/>
  <sheetViews>
    <sheetView workbookViewId="0">
      <selection activeCell="A6" sqref="A6"/>
    </sheetView>
  </sheetViews>
  <sheetFormatPr defaultRowHeight="15"/>
  <cols>
    <col min="3" max="3" width="11.42578125" bestFit="1" customWidth="1"/>
  </cols>
  <sheetData>
    <row r="2" spans="1:3">
      <c r="B2" s="264" t="s">
        <v>442</v>
      </c>
      <c r="C2" s="374">
        <v>0.03</v>
      </c>
    </row>
    <row r="3" spans="1:3">
      <c r="B3" s="264" t="s">
        <v>443</v>
      </c>
      <c r="C3" s="375">
        <f>(' DCF Valuation '!K52*1.03)/(0.0925-0.03)</f>
        <v>7402329.6459238967</v>
      </c>
    </row>
    <row r="5" spans="1:3">
      <c r="A5" s="400" t="s">
        <v>444</v>
      </c>
    </row>
  </sheetData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D71EF09-9F39-4B4B-AB60-6A401E5EB745}">
  <sheetPr>
    <tabColor rgb="FFFFFF00"/>
  </sheetPr>
  <dimension ref="A1:H25"/>
  <sheetViews>
    <sheetView workbookViewId="0">
      <selection activeCell="H1" sqref="H1"/>
    </sheetView>
  </sheetViews>
  <sheetFormatPr defaultRowHeight="15"/>
  <cols>
    <col min="1" max="1" width="11.140625" bestFit="1" customWidth="1"/>
    <col min="6" max="6" width="9.85546875" bestFit="1" customWidth="1"/>
  </cols>
  <sheetData>
    <row r="1" spans="1:8">
      <c r="A1" s="346" t="s">
        <v>445</v>
      </c>
      <c r="B1" s="347" t="s">
        <v>446</v>
      </c>
      <c r="C1" s="347" t="s">
        <v>447</v>
      </c>
      <c r="D1" s="347" t="s">
        <v>448</v>
      </c>
      <c r="E1" s="347" t="s">
        <v>449</v>
      </c>
      <c r="F1" s="348" t="s">
        <v>450</v>
      </c>
      <c r="G1" s="349"/>
      <c r="H1" s="350">
        <f>AVERAGE(B2:B23)/100</f>
        <v>4.0810909090909099E-2</v>
      </c>
    </row>
    <row r="2" spans="1:8">
      <c r="A2" s="351">
        <v>45992</v>
      </c>
      <c r="B2" s="352">
        <v>4.0949999999999998</v>
      </c>
      <c r="C2" s="352">
        <v>4.0389999999999997</v>
      </c>
      <c r="D2" s="352">
        <v>4.1020000000000003</v>
      </c>
      <c r="E2" s="352">
        <v>4.0270000000000001</v>
      </c>
      <c r="F2" s="353">
        <v>1.5900000000000001E-2</v>
      </c>
      <c r="G2" s="349"/>
      <c r="H2" s="349"/>
    </row>
    <row r="3" spans="1:8">
      <c r="A3" s="354">
        <v>45991</v>
      </c>
      <c r="B3" s="355">
        <v>4.0309999999999997</v>
      </c>
      <c r="C3" s="355">
        <v>4.0270000000000001</v>
      </c>
      <c r="D3" s="355">
        <v>4.0359999999999996</v>
      </c>
      <c r="E3" s="355">
        <v>4.0270000000000001</v>
      </c>
      <c r="F3" s="356">
        <v>3.0000000000000001E-3</v>
      </c>
      <c r="G3" s="349"/>
      <c r="H3" s="349"/>
    </row>
    <row r="4" spans="1:8">
      <c r="A4" s="351">
        <v>45989</v>
      </c>
      <c r="B4" s="352">
        <v>4.0190000000000001</v>
      </c>
      <c r="C4" s="352">
        <v>4.008</v>
      </c>
      <c r="D4" s="352">
        <v>4.0359999999999996</v>
      </c>
      <c r="E4" s="352">
        <v>3.9609999999999999</v>
      </c>
      <c r="F4" s="353">
        <v>3.5000000000000001E-3</v>
      </c>
      <c r="G4" s="349"/>
      <c r="H4" s="349"/>
    </row>
    <row r="5" spans="1:8">
      <c r="A5" s="354">
        <v>45988</v>
      </c>
      <c r="B5" s="355">
        <v>4.0049999999999999</v>
      </c>
      <c r="C5" s="355">
        <v>3.9980000000000002</v>
      </c>
      <c r="D5" s="355">
        <v>4.0149999999999997</v>
      </c>
      <c r="E5" s="355">
        <v>3.9910000000000001</v>
      </c>
      <c r="F5" s="356">
        <v>1.8E-3</v>
      </c>
      <c r="G5" s="349"/>
      <c r="H5" s="349"/>
    </row>
    <row r="6" spans="1:8">
      <c r="A6" s="351">
        <v>45987</v>
      </c>
      <c r="B6" s="352">
        <v>3.9980000000000002</v>
      </c>
      <c r="C6" s="352">
        <v>4.0039999999999996</v>
      </c>
      <c r="D6" s="352">
        <v>4.0439999999999996</v>
      </c>
      <c r="E6" s="352">
        <v>3.99</v>
      </c>
      <c r="F6" s="353">
        <v>-1E-3</v>
      </c>
      <c r="G6" s="349"/>
      <c r="H6" s="349"/>
    </row>
    <row r="7" spans="1:8">
      <c r="A7" s="354">
        <v>45986</v>
      </c>
      <c r="B7" s="355">
        <v>4.0019999999999998</v>
      </c>
      <c r="C7" s="355">
        <v>4.0309999999999997</v>
      </c>
      <c r="D7" s="355">
        <v>4.0460000000000003</v>
      </c>
      <c r="E7" s="355">
        <v>3.988</v>
      </c>
      <c r="F7" s="356">
        <v>-8.3999999999999995E-3</v>
      </c>
      <c r="G7" s="349"/>
      <c r="H7" s="349"/>
    </row>
    <row r="8" spans="1:8">
      <c r="A8" s="351">
        <v>45985</v>
      </c>
      <c r="B8" s="352">
        <v>4.0359999999999996</v>
      </c>
      <c r="C8" s="352">
        <v>4.0590000000000002</v>
      </c>
      <c r="D8" s="352">
        <v>4.069</v>
      </c>
      <c r="E8" s="352">
        <v>4.0270000000000001</v>
      </c>
      <c r="F8" s="353">
        <v>-6.6E-3</v>
      </c>
      <c r="G8" s="349"/>
      <c r="H8" s="349"/>
    </row>
    <row r="9" spans="1:8">
      <c r="A9" s="354">
        <v>45982</v>
      </c>
      <c r="B9" s="355">
        <v>4.0629999999999997</v>
      </c>
      <c r="C9" s="355">
        <v>4.0919999999999996</v>
      </c>
      <c r="D9" s="355">
        <v>4.1020000000000003</v>
      </c>
      <c r="E9" s="355">
        <v>4.0359999999999996</v>
      </c>
      <c r="F9" s="356">
        <v>-0.01</v>
      </c>
      <c r="G9" s="349"/>
      <c r="H9" s="349"/>
    </row>
    <row r="10" spans="1:8">
      <c r="A10" s="351">
        <v>45981</v>
      </c>
      <c r="B10" s="352">
        <v>4.1040000000000001</v>
      </c>
      <c r="C10" s="352">
        <v>4.1459999999999999</v>
      </c>
      <c r="D10" s="352">
        <v>4.1680000000000001</v>
      </c>
      <c r="E10" s="352">
        <v>4.0839999999999996</v>
      </c>
      <c r="F10" s="353">
        <v>-6.4999999999999997E-3</v>
      </c>
      <c r="G10" s="349"/>
      <c r="H10" s="349"/>
    </row>
    <row r="11" spans="1:8">
      <c r="A11" s="354">
        <v>45980</v>
      </c>
      <c r="B11" s="355">
        <v>4.1310000000000002</v>
      </c>
      <c r="C11" s="355">
        <v>4.117</v>
      </c>
      <c r="D11" s="355">
        <v>4.141</v>
      </c>
      <c r="E11" s="355">
        <v>4.0979999999999999</v>
      </c>
      <c r="F11" s="356">
        <v>2.3999999999999998E-3</v>
      </c>
      <c r="G11" s="349"/>
      <c r="H11" s="349"/>
    </row>
    <row r="12" spans="1:8">
      <c r="A12" s="351">
        <v>45979</v>
      </c>
      <c r="B12" s="352">
        <v>4.1210000000000004</v>
      </c>
      <c r="C12" s="352">
        <v>4.1459999999999999</v>
      </c>
      <c r="D12" s="352">
        <v>4.1479999999999997</v>
      </c>
      <c r="E12" s="352">
        <v>4.0839999999999996</v>
      </c>
      <c r="F12" s="353">
        <v>-2.8999999999999998E-3</v>
      </c>
      <c r="G12" s="349"/>
      <c r="H12" s="349"/>
    </row>
    <row r="13" spans="1:8">
      <c r="A13" s="354">
        <v>45978</v>
      </c>
      <c r="B13" s="355">
        <v>4.133</v>
      </c>
      <c r="C13" s="355">
        <v>4.1539999999999999</v>
      </c>
      <c r="D13" s="355">
        <v>4.1580000000000004</v>
      </c>
      <c r="E13" s="355">
        <v>4.1150000000000002</v>
      </c>
      <c r="F13" s="356">
        <v>-3.5999999999999999E-3</v>
      </c>
      <c r="G13" s="349"/>
      <c r="H13" s="349"/>
    </row>
    <row r="14" spans="1:8">
      <c r="A14" s="351">
        <v>45975</v>
      </c>
      <c r="B14" s="352">
        <v>4.1479999999999997</v>
      </c>
      <c r="C14" s="352">
        <v>4.1230000000000002</v>
      </c>
      <c r="D14" s="352">
        <v>4.1520000000000001</v>
      </c>
      <c r="E14" s="352">
        <v>4.0650000000000004</v>
      </c>
      <c r="F14" s="353">
        <v>8.9999999999999993E-3</v>
      </c>
      <c r="G14" s="349"/>
      <c r="H14" s="349"/>
    </row>
    <row r="15" spans="1:8">
      <c r="A15" s="354">
        <v>45974</v>
      </c>
      <c r="B15" s="355">
        <v>4.1109999999999998</v>
      </c>
      <c r="C15" s="355">
        <v>4.0810000000000004</v>
      </c>
      <c r="D15" s="355">
        <v>4.125</v>
      </c>
      <c r="E15" s="355">
        <v>4.0709999999999997</v>
      </c>
      <c r="F15" s="356">
        <v>1.0800000000000001E-2</v>
      </c>
      <c r="G15" s="349"/>
      <c r="H15" s="349"/>
    </row>
    <row r="16" spans="1:8">
      <c r="A16" s="351">
        <v>45973</v>
      </c>
      <c r="B16" s="352">
        <v>4.0670000000000002</v>
      </c>
      <c r="C16" s="352">
        <v>4.069</v>
      </c>
      <c r="D16" s="352">
        <v>4.0949999999999998</v>
      </c>
      <c r="E16" s="352">
        <v>4.056</v>
      </c>
      <c r="F16" s="353">
        <v>-5.0000000000000001E-4</v>
      </c>
      <c r="G16" s="349"/>
      <c r="H16" s="349"/>
    </row>
    <row r="17" spans="1:8">
      <c r="A17" s="354">
        <v>45972</v>
      </c>
      <c r="B17" s="355">
        <v>4.069</v>
      </c>
      <c r="C17" s="355">
        <v>4.1180000000000003</v>
      </c>
      <c r="D17" s="355">
        <v>4.1230000000000002</v>
      </c>
      <c r="E17" s="355">
        <v>4.0650000000000004</v>
      </c>
      <c r="F17" s="356">
        <v>-0.01</v>
      </c>
      <c r="G17" s="349"/>
      <c r="H17" s="349"/>
    </row>
    <row r="18" spans="1:8">
      <c r="A18" s="351">
        <v>45971</v>
      </c>
      <c r="B18" s="352">
        <v>4.1100000000000003</v>
      </c>
      <c r="C18" s="352">
        <v>4.13</v>
      </c>
      <c r="D18" s="352">
        <v>4.1470000000000002</v>
      </c>
      <c r="E18" s="352">
        <v>4.0960000000000001</v>
      </c>
      <c r="F18" s="353">
        <v>4.1999999999999997E-3</v>
      </c>
      <c r="G18" s="349"/>
      <c r="H18" s="349"/>
    </row>
    <row r="19" spans="1:8">
      <c r="A19" s="354">
        <v>45968</v>
      </c>
      <c r="B19" s="355">
        <v>4.093</v>
      </c>
      <c r="C19" s="355">
        <v>4.0890000000000004</v>
      </c>
      <c r="D19" s="355">
        <v>4.1120000000000001</v>
      </c>
      <c r="E19" s="355">
        <v>4.0659999999999998</v>
      </c>
      <c r="F19" s="356">
        <v>0</v>
      </c>
      <c r="G19" s="349"/>
      <c r="H19" s="349"/>
    </row>
    <row r="20" spans="1:8">
      <c r="A20" s="351">
        <v>45967</v>
      </c>
      <c r="B20" s="352">
        <v>4.093</v>
      </c>
      <c r="C20" s="352">
        <v>4.1550000000000002</v>
      </c>
      <c r="D20" s="352">
        <v>4.157</v>
      </c>
      <c r="E20" s="352">
        <v>4.077</v>
      </c>
      <c r="F20" s="353">
        <v>-1.54E-2</v>
      </c>
      <c r="G20" s="349"/>
      <c r="H20" s="349"/>
    </row>
    <row r="21" spans="1:8">
      <c r="A21" s="354">
        <v>45966</v>
      </c>
      <c r="B21" s="355">
        <v>4.157</v>
      </c>
      <c r="C21" s="355">
        <v>4.0869999999999997</v>
      </c>
      <c r="D21" s="355">
        <v>4.1630000000000003</v>
      </c>
      <c r="E21" s="355">
        <v>4.0540000000000003</v>
      </c>
      <c r="F21" s="356">
        <v>1.61E-2</v>
      </c>
      <c r="G21" s="349"/>
      <c r="H21" s="349"/>
    </row>
    <row r="22" spans="1:8">
      <c r="A22" s="351">
        <v>45965</v>
      </c>
      <c r="B22" s="352">
        <v>4.0910000000000002</v>
      </c>
      <c r="C22" s="352">
        <v>4.109</v>
      </c>
      <c r="D22" s="352">
        <v>4.1139999999999999</v>
      </c>
      <c r="E22" s="352">
        <v>4.0789999999999997</v>
      </c>
      <c r="F22" s="353">
        <v>-3.8999999999999998E-3</v>
      </c>
      <c r="G22" s="349"/>
      <c r="H22" s="349"/>
    </row>
    <row r="23" spans="1:8">
      <c r="A23" s="354">
        <v>45964</v>
      </c>
      <c r="B23" s="355">
        <v>4.1070000000000002</v>
      </c>
      <c r="C23" s="355">
        <v>4.101</v>
      </c>
      <c r="D23" s="355">
        <v>4.1219999999999999</v>
      </c>
      <c r="E23" s="355">
        <v>4.0810000000000004</v>
      </c>
      <c r="F23" s="356">
        <v>1.5E-3</v>
      </c>
      <c r="G23" s="349"/>
      <c r="H23" s="349"/>
    </row>
    <row r="24" spans="1:8">
      <c r="A24" s="349"/>
      <c r="B24" s="349"/>
      <c r="C24" s="349"/>
      <c r="D24" s="349"/>
      <c r="E24" s="349"/>
      <c r="F24" s="349"/>
      <c r="G24" s="349"/>
      <c r="H24" s="349"/>
    </row>
    <row r="25" spans="1:8">
      <c r="A25" s="349"/>
      <c r="B25" s="349"/>
      <c r="C25" s="349"/>
      <c r="D25" s="349"/>
      <c r="E25" s="349"/>
      <c r="F25" s="349"/>
      <c r="G25" s="349"/>
      <c r="H25" s="349"/>
    </row>
  </sheetData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80EBE19-8714-478A-B21A-EE2695AF98BF}">
  <sheetPr>
    <tabColor rgb="FFFFF700"/>
  </sheetPr>
  <dimension ref="A3:Z12"/>
  <sheetViews>
    <sheetView topLeftCell="L1" workbookViewId="0">
      <selection activeCell="Z7" sqref="Z7"/>
    </sheetView>
  </sheetViews>
  <sheetFormatPr defaultRowHeight="15"/>
  <cols>
    <col min="1" max="2" width="9.140625" style="77"/>
    <col min="3" max="3" width="12.42578125" style="77" bestFit="1" customWidth="1"/>
    <col min="4" max="4" width="9.140625" style="77"/>
    <col min="5" max="5" width="15.7109375" style="77" bestFit="1" customWidth="1"/>
    <col min="6" max="8" width="9.140625" style="77"/>
    <col min="9" max="9" width="13.5703125" style="77" bestFit="1" customWidth="1"/>
    <col min="10" max="11" width="9.140625" style="77"/>
    <col min="12" max="12" width="31.7109375" style="77" bestFit="1" customWidth="1"/>
    <col min="13" max="16" width="13.5703125" style="77" bestFit="1" customWidth="1"/>
    <col min="17" max="17" width="9.140625" style="77"/>
    <col min="18" max="18" width="27" style="77" bestFit="1" customWidth="1"/>
    <col min="19" max="21" width="9.140625" style="77"/>
    <col min="22" max="22" width="13.5703125" style="77" bestFit="1" customWidth="1"/>
    <col min="23" max="16384" width="9.140625" style="77"/>
  </cols>
  <sheetData>
    <row r="3" spans="1:26">
      <c r="A3" s="78" t="s">
        <v>451</v>
      </c>
      <c r="B3" s="78"/>
      <c r="C3" s="78"/>
      <c r="E3" s="78" t="s">
        <v>452</v>
      </c>
      <c r="F3" s="78"/>
      <c r="H3" s="78" t="s">
        <v>453</v>
      </c>
      <c r="I3" s="78"/>
      <c r="J3" s="78"/>
      <c r="L3" s="78" t="s">
        <v>454</v>
      </c>
      <c r="M3" s="78"/>
      <c r="N3" s="78"/>
      <c r="O3" s="78"/>
      <c r="R3" s="78" t="s">
        <v>455</v>
      </c>
      <c r="T3" s="78" t="s">
        <v>456</v>
      </c>
      <c r="X3" s="78" t="s">
        <v>457</v>
      </c>
    </row>
    <row r="5" spans="1:26">
      <c r="A5" s="77" t="s">
        <v>458</v>
      </c>
      <c r="C5" s="395">
        <v>449170000</v>
      </c>
      <c r="E5" s="77">
        <f>(C5*1.03)/(0.0925-0.03)</f>
        <v>7402321600</v>
      </c>
      <c r="H5" s="77" t="s">
        <v>459</v>
      </c>
      <c r="I5" s="395">
        <f>E5/(1+0.0925)^5</f>
        <v>4756206709.6231766</v>
      </c>
      <c r="J5" s="77" t="s">
        <v>460</v>
      </c>
      <c r="L5" s="78">
        <v>2025</v>
      </c>
      <c r="M5" s="78">
        <v>2026</v>
      </c>
      <c r="N5" s="78">
        <v>2027</v>
      </c>
      <c r="O5" s="78">
        <v>2028</v>
      </c>
      <c r="P5" s="78">
        <v>2029</v>
      </c>
      <c r="R5" s="77" t="s">
        <v>461</v>
      </c>
      <c r="T5" s="77" t="s">
        <v>462</v>
      </c>
      <c r="V5" s="395">
        <v>289898000</v>
      </c>
      <c r="X5" s="77" t="s">
        <v>463</v>
      </c>
    </row>
    <row r="6" spans="1:26">
      <c r="A6" s="77" t="s">
        <v>464</v>
      </c>
      <c r="C6" s="77">
        <v>9.2499999999999999E-2</v>
      </c>
      <c r="L6" s="395">
        <f>' DCF Valuation '!G52*1000</f>
        <v>303846888.00000006</v>
      </c>
      <c r="M6" s="395">
        <f>' DCF Valuation '!H52*1000</f>
        <v>332419786.12999994</v>
      </c>
      <c r="N6" s="395">
        <f>' DCF Valuation '!I52*1000</f>
        <v>366949835.3434</v>
      </c>
      <c r="O6" s="395">
        <f>' DCF Valuation '!J52*1000</f>
        <v>410738360.99629372</v>
      </c>
      <c r="P6" s="395">
        <f>' DCF Valuation '!K52*1000</f>
        <v>449170488.22353739</v>
      </c>
      <c r="R6" s="395">
        <f>L12+I5</f>
        <v>6171516709.6231766</v>
      </c>
      <c r="T6" s="77" t="s">
        <v>465</v>
      </c>
      <c r="V6" s="395">
        <v>664195000</v>
      </c>
      <c r="X6" s="302">
        <f>V9/C8</f>
        <v>210.16546939007182</v>
      </c>
    </row>
    <row r="7" spans="1:26">
      <c r="A7" s="77" t="s">
        <v>466</v>
      </c>
      <c r="C7" s="77">
        <v>0.03</v>
      </c>
      <c r="K7" s="77" t="s">
        <v>467</v>
      </c>
      <c r="L7" s="395">
        <f>277990*1000</f>
        <v>277990000</v>
      </c>
      <c r="M7" s="395">
        <v>278417000</v>
      </c>
      <c r="N7" s="395">
        <v>281819000</v>
      </c>
      <c r="O7" s="395">
        <v>288343000</v>
      </c>
      <c r="P7" s="395">
        <v>288741000</v>
      </c>
      <c r="T7" s="77" t="s">
        <v>468</v>
      </c>
      <c r="V7" s="395">
        <f>V6-V5</f>
        <v>374297000</v>
      </c>
    </row>
    <row r="8" spans="1:26">
      <c r="A8" s="77" t="s">
        <v>469</v>
      </c>
      <c r="C8" s="397">
        <v>31146000</v>
      </c>
      <c r="E8" s="395"/>
      <c r="R8" s="395"/>
      <c r="X8" s="77" t="s">
        <v>470</v>
      </c>
      <c r="Z8" s="77">
        <v>316.32</v>
      </c>
    </row>
    <row r="9" spans="1:26">
      <c r="T9" s="77" t="s">
        <v>471</v>
      </c>
      <c r="V9" s="395">
        <f>R6+V7</f>
        <v>6545813709.6231766</v>
      </c>
    </row>
    <row r="10" spans="1:26">
      <c r="V10" s="395"/>
    </row>
    <row r="11" spans="1:26">
      <c r="V11" s="395"/>
    </row>
    <row r="12" spans="1:26">
      <c r="K12" s="77" t="s">
        <v>472</v>
      </c>
      <c r="L12" s="395">
        <f>SUM(L7:P7)</f>
        <v>1415310000</v>
      </c>
      <c r="V12" s="396"/>
    </row>
  </sheetData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B2308BF-D5EC-4F82-B2CE-09833A8F2CE3}">
  <sheetPr>
    <tabColor rgb="FFFFF700"/>
  </sheetPr>
  <dimension ref="A3:J27"/>
  <sheetViews>
    <sheetView workbookViewId="0">
      <selection activeCell="A27" sqref="A27"/>
    </sheetView>
  </sheetViews>
  <sheetFormatPr defaultRowHeight="15"/>
  <cols>
    <col min="1" max="1" width="36.42578125" customWidth="1"/>
    <col min="2" max="2" width="16" customWidth="1"/>
    <col min="3" max="3" width="20.42578125" customWidth="1"/>
    <col min="4" max="4" width="13.5703125" customWidth="1"/>
    <col min="7" max="7" width="19" customWidth="1"/>
    <col min="8" max="8" width="15.85546875" customWidth="1"/>
    <col min="9" max="9" width="17" bestFit="1" customWidth="1"/>
    <col min="10" max="10" width="11.140625" bestFit="1" customWidth="1"/>
  </cols>
  <sheetData>
    <row r="3" spans="1:10">
      <c r="A3" s="371" t="s">
        <v>473</v>
      </c>
      <c r="B3" s="371" t="s">
        <v>474</v>
      </c>
      <c r="C3" s="371" t="s">
        <v>475</v>
      </c>
      <c r="D3" s="371" t="s">
        <v>476</v>
      </c>
      <c r="E3" s="371" t="s">
        <v>395</v>
      </c>
      <c r="F3" s="371" t="s">
        <v>477</v>
      </c>
      <c r="G3" s="371" t="s">
        <v>478</v>
      </c>
      <c r="H3" s="371" t="s">
        <v>479</v>
      </c>
      <c r="I3" s="371" t="s">
        <v>480</v>
      </c>
      <c r="J3" s="371" t="s">
        <v>481</v>
      </c>
    </row>
    <row r="4" spans="1:10">
      <c r="A4" s="372" t="s">
        <v>482</v>
      </c>
      <c r="B4" s="372">
        <v>9.85</v>
      </c>
      <c r="C4" s="372" t="s">
        <v>483</v>
      </c>
      <c r="D4" s="373">
        <v>6.2E-2</v>
      </c>
      <c r="E4" s="373">
        <v>0.31209999999999999</v>
      </c>
      <c r="F4" s="372">
        <v>2.57</v>
      </c>
      <c r="G4" s="372">
        <v>22.1</v>
      </c>
      <c r="H4" s="372">
        <v>28</v>
      </c>
      <c r="I4" s="372" t="s">
        <v>484</v>
      </c>
      <c r="J4" s="372" t="s">
        <v>70</v>
      </c>
    </row>
    <row r="5" spans="1:10">
      <c r="A5" s="372" t="s">
        <v>485</v>
      </c>
      <c r="B5" s="372" t="s">
        <v>486</v>
      </c>
      <c r="C5" s="372" t="s">
        <v>487</v>
      </c>
      <c r="D5" s="373">
        <v>-1.8100000000000002E-2</v>
      </c>
      <c r="E5" s="373">
        <v>1.2974000000000001</v>
      </c>
      <c r="F5" s="372">
        <v>0.37</v>
      </c>
      <c r="G5" s="372">
        <v>9.6</v>
      </c>
      <c r="H5" s="372">
        <v>20.25</v>
      </c>
      <c r="I5" s="372" t="s">
        <v>484</v>
      </c>
      <c r="J5" s="372">
        <v>43.96</v>
      </c>
    </row>
    <row r="6" spans="1:10">
      <c r="A6" s="372" t="s">
        <v>488</v>
      </c>
      <c r="B6" s="372" t="s">
        <v>489</v>
      </c>
      <c r="C6" s="372" t="s">
        <v>490</v>
      </c>
      <c r="D6" s="373">
        <v>0.2145</v>
      </c>
      <c r="E6" s="373">
        <v>0.41520000000000001</v>
      </c>
      <c r="F6" s="372">
        <v>0.98</v>
      </c>
      <c r="G6" s="372">
        <v>10.89</v>
      </c>
      <c r="H6" s="372">
        <v>22.98</v>
      </c>
      <c r="I6" s="372" t="s">
        <v>484</v>
      </c>
      <c r="J6" s="372">
        <v>125.166</v>
      </c>
    </row>
    <row r="7" spans="1:10">
      <c r="A7" s="372" t="s">
        <v>491</v>
      </c>
      <c r="B7" s="372" t="s">
        <v>492</v>
      </c>
      <c r="C7" s="372" t="s">
        <v>493</v>
      </c>
      <c r="D7" s="373">
        <v>0.1018</v>
      </c>
      <c r="E7" s="373">
        <v>0.10299999999999999</v>
      </c>
      <c r="F7" s="372">
        <v>0.53</v>
      </c>
      <c r="G7" s="372">
        <v>12.07</v>
      </c>
      <c r="H7" s="372">
        <v>20.71</v>
      </c>
      <c r="I7" s="372" t="s">
        <v>494</v>
      </c>
      <c r="J7" s="372">
        <v>55.37</v>
      </c>
    </row>
    <row r="8" spans="1:10">
      <c r="A8" s="372" t="s">
        <v>495</v>
      </c>
      <c r="B8" s="372" t="s">
        <v>496</v>
      </c>
      <c r="C8" s="372" t="s">
        <v>497</v>
      </c>
      <c r="D8" s="373">
        <v>0.13189999999999999</v>
      </c>
      <c r="E8" s="373">
        <v>0.29420000000000002</v>
      </c>
      <c r="F8" s="372">
        <v>1.7</v>
      </c>
      <c r="G8" s="372">
        <v>16.21</v>
      </c>
      <c r="H8" s="372">
        <v>26.85</v>
      </c>
      <c r="I8" s="372" t="s">
        <v>484</v>
      </c>
      <c r="J8" s="372">
        <v>351.8</v>
      </c>
    </row>
    <row r="9" spans="1:10">
      <c r="A9" s="372" t="s">
        <v>498</v>
      </c>
      <c r="B9" s="372" t="s">
        <v>499</v>
      </c>
      <c r="C9" s="372" t="s">
        <v>500</v>
      </c>
      <c r="D9" s="373">
        <v>6.8699999999999997E-2</v>
      </c>
      <c r="E9" s="373">
        <v>0.67800000000000005</v>
      </c>
      <c r="F9" s="372">
        <v>1.47</v>
      </c>
      <c r="G9" s="372">
        <v>11.85</v>
      </c>
      <c r="H9" s="372">
        <v>17.54</v>
      </c>
      <c r="I9" s="372" t="s">
        <v>484</v>
      </c>
      <c r="J9" s="372">
        <v>108.08</v>
      </c>
    </row>
    <row r="10" spans="1:10">
      <c r="A10" s="372" t="s">
        <v>501</v>
      </c>
      <c r="B10" s="372" t="s">
        <v>502</v>
      </c>
      <c r="C10" s="372" t="s">
        <v>503</v>
      </c>
      <c r="D10" s="373">
        <v>-6.4000000000000003E-3</v>
      </c>
      <c r="E10" s="373">
        <v>0.66469999999999996</v>
      </c>
      <c r="F10" s="372">
        <v>1.85</v>
      </c>
      <c r="G10" s="372">
        <v>15.21</v>
      </c>
      <c r="H10" s="372">
        <v>25.42</v>
      </c>
      <c r="I10" s="372" t="s">
        <v>504</v>
      </c>
      <c r="J10" s="372">
        <v>228.54</v>
      </c>
    </row>
    <row r="12" spans="1:10">
      <c r="A12" s="365" t="s">
        <v>505</v>
      </c>
      <c r="B12">
        <f>G14</f>
        <v>11.96</v>
      </c>
      <c r="F12">
        <f>F4*H12</f>
        <v>59.058599999999998</v>
      </c>
      <c r="G12" s="367">
        <v>12.07</v>
      </c>
      <c r="H12" s="365">
        <v>22.98</v>
      </c>
    </row>
    <row r="13" spans="1:10">
      <c r="A13" s="365" t="s">
        <v>506</v>
      </c>
      <c r="B13">
        <f>H14</f>
        <v>21.844999999999999</v>
      </c>
      <c r="G13" s="367"/>
      <c r="H13" s="365"/>
    </row>
    <row r="14" spans="1:10">
      <c r="A14" s="365" t="s">
        <v>507</v>
      </c>
      <c r="B14" s="368">
        <f>E4*EBITDA!B7</f>
        <v>103939.28719999999</v>
      </c>
      <c r="G14">
        <f>MEDIAN(G5:G10)</f>
        <v>11.96</v>
      </c>
      <c r="H14">
        <f>MEDIAN(H5:H10)</f>
        <v>21.844999999999999</v>
      </c>
    </row>
    <row r="15" spans="1:10">
      <c r="A15" s="365" t="s">
        <v>508</v>
      </c>
      <c r="B15" s="368">
        <f>G12*B14</f>
        <v>1254547.1965039999</v>
      </c>
      <c r="D15" s="366"/>
      <c r="G15" s="368"/>
    </row>
    <row r="16" spans="1:10">
      <c r="A16" s="365" t="s">
        <v>509</v>
      </c>
      <c r="B16" s="368">
        <f>1628844200/31146000</f>
        <v>52.297059012393248</v>
      </c>
      <c r="G16" s="368"/>
    </row>
    <row r="17" spans="1:7">
      <c r="A17" s="365" t="s">
        <v>510</v>
      </c>
      <c r="B17" s="369">
        <f>F4*B13</f>
        <v>56.141649999999991</v>
      </c>
      <c r="G17" s="368"/>
    </row>
    <row r="18" spans="1:7">
      <c r="A18" s="365" t="s">
        <v>511</v>
      </c>
      <c r="B18" s="370">
        <f>AVERAGE(B16:B17)</f>
        <v>54.219354506196623</v>
      </c>
    </row>
    <row r="22" spans="1:7">
      <c r="A22" s="365" t="s">
        <v>512</v>
      </c>
      <c r="B22" s="365" t="s">
        <v>513</v>
      </c>
      <c r="C22" s="365" t="s">
        <v>514</v>
      </c>
      <c r="D22" s="365" t="s">
        <v>515</v>
      </c>
    </row>
    <row r="23" spans="1:7">
      <c r="A23" t="s">
        <v>516</v>
      </c>
      <c r="B23" s="368">
        <f>'Present Value Calculation'!X6</f>
        <v>210.16546939007182</v>
      </c>
      <c r="C23" s="398">
        <v>0.6</v>
      </c>
      <c r="D23" t="s">
        <v>517</v>
      </c>
    </row>
    <row r="24" spans="1:7">
      <c r="A24" t="s">
        <v>518</v>
      </c>
      <c r="B24" s="368">
        <f>B18</f>
        <v>54.219354506196623</v>
      </c>
      <c r="C24" s="398">
        <v>0.4</v>
      </c>
      <c r="D24" t="s">
        <v>519</v>
      </c>
    </row>
    <row r="26" spans="1:7">
      <c r="A26" s="365" t="s">
        <v>520</v>
      </c>
    </row>
    <row r="27" spans="1:7">
      <c r="A27" s="399">
        <f>(B23*60%)+(B24*40%)</f>
        <v>147.78702343652174</v>
      </c>
    </row>
  </sheetData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2109926-7CC3-4E79-A4CF-5D8A05D77C33}">
  <dimension ref="B2:H11"/>
  <sheetViews>
    <sheetView workbookViewId="0"/>
  </sheetViews>
  <sheetFormatPr defaultRowHeight="15"/>
  <sheetData>
    <row r="2" spans="2:8">
      <c r="B2" s="389" t="s">
        <v>521</v>
      </c>
    </row>
    <row r="3" spans="2:8">
      <c r="B3" s="390" t="s">
        <v>522</v>
      </c>
    </row>
    <row r="4" spans="2:8">
      <c r="B4" s="390" t="s">
        <v>523</v>
      </c>
    </row>
    <row r="6" spans="2:8">
      <c r="C6" t="s">
        <v>524</v>
      </c>
      <c r="D6">
        <v>2020</v>
      </c>
      <c r="E6">
        <v>2021</v>
      </c>
      <c r="F6">
        <v>2022</v>
      </c>
      <c r="G6">
        <v>2023</v>
      </c>
      <c r="H6">
        <v>2024</v>
      </c>
    </row>
    <row r="7" spans="2:8">
      <c r="C7" t="s">
        <v>355</v>
      </c>
      <c r="D7">
        <v>0.14599999999999999</v>
      </c>
      <c r="E7">
        <v>0.14399999999999999</v>
      </c>
      <c r="F7">
        <v>0.155</v>
      </c>
      <c r="G7">
        <v>0.17100000000000001</v>
      </c>
      <c r="H7">
        <v>0.20100000000000001</v>
      </c>
    </row>
    <row r="8" spans="2:8">
      <c r="C8" t="s">
        <v>356</v>
      </c>
      <c r="D8">
        <v>7.5999999999999998E-2</v>
      </c>
      <c r="E8">
        <v>7.5999999999999998E-2</v>
      </c>
      <c r="F8">
        <v>0.09</v>
      </c>
      <c r="G8">
        <v>0.104</v>
      </c>
      <c r="H8">
        <v>0.125</v>
      </c>
    </row>
    <row r="9" spans="2:8">
      <c r="C9" t="s">
        <v>358</v>
      </c>
      <c r="D9">
        <v>3.5000000000000003E-2</v>
      </c>
      <c r="E9">
        <v>4.2999999999999997E-2</v>
      </c>
      <c r="F9">
        <v>5.5E-2</v>
      </c>
      <c r="G9">
        <v>7.0000000000000007E-2</v>
      </c>
      <c r="H9">
        <v>0.122</v>
      </c>
    </row>
    <row r="10" spans="2:8">
      <c r="C10" t="s">
        <v>360</v>
      </c>
      <c r="D10">
        <v>4.4999999999999998E-2</v>
      </c>
      <c r="E10">
        <v>0.05</v>
      </c>
      <c r="F10">
        <v>6.7000000000000004E-2</v>
      </c>
      <c r="G10">
        <v>7.8E-2</v>
      </c>
      <c r="H10">
        <v>0.128</v>
      </c>
    </row>
    <row r="11" spans="2:8">
      <c r="C11" t="s">
        <v>362</v>
      </c>
      <c r="D11">
        <v>0.16</v>
      </c>
      <c r="E11">
        <v>0.17100000000000001</v>
      </c>
      <c r="F11">
        <v>0.20200000000000001</v>
      </c>
      <c r="G11">
        <v>0.222</v>
      </c>
      <c r="H11">
        <v>0.312</v>
      </c>
    </row>
  </sheetData>
  <pageMargins left="0.7" right="0.7" top="0.75" bottom="0.75" header="0.3" footer="0.3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7986E7A-222B-46E5-BF2C-158EF8BB6D93}">
  <dimension ref="A2:B8"/>
  <sheetViews>
    <sheetView workbookViewId="0"/>
  </sheetViews>
  <sheetFormatPr defaultRowHeight="15"/>
  <cols>
    <col min="1" max="1" width="21.28515625" bestFit="1" customWidth="1"/>
    <col min="2" max="2" width="12" bestFit="1" customWidth="1"/>
  </cols>
  <sheetData>
    <row r="2" spans="1:2">
      <c r="A2" s="380" t="s">
        <v>525</v>
      </c>
      <c r="B2" t="s">
        <v>526</v>
      </c>
    </row>
    <row r="3" spans="1:2">
      <c r="A3" s="24" t="s">
        <v>362</v>
      </c>
      <c r="B3">
        <v>0.222</v>
      </c>
    </row>
    <row r="4" spans="1:2">
      <c r="A4" s="24" t="s">
        <v>355</v>
      </c>
      <c r="B4">
        <v>0.17100000000000001</v>
      </c>
    </row>
    <row r="5" spans="1:2">
      <c r="A5" s="24" t="s">
        <v>356</v>
      </c>
      <c r="B5">
        <v>0.104</v>
      </c>
    </row>
    <row r="6" spans="1:2">
      <c r="A6" s="24" t="s">
        <v>360</v>
      </c>
      <c r="B6">
        <v>7.8E-2</v>
      </c>
    </row>
    <row r="7" spans="1:2">
      <c r="A7" s="24" t="s">
        <v>358</v>
      </c>
      <c r="B7">
        <v>7.0000000000000007E-2</v>
      </c>
    </row>
    <row r="8" spans="1:2">
      <c r="A8" s="24" t="s">
        <v>527</v>
      </c>
      <c r="B8">
        <v>0.64500000000000002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 Online</Application>
  <Manager/>
  <Company/>
  <HyperlinkBase/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/>
  <cp:keywords/>
  <dc:description/>
  <cp:lastModifiedBy/>
  <cp:revision/>
  <dcterms:created xsi:type="dcterms:W3CDTF">2025-11-08T09:11:37Z</dcterms:created>
  <dcterms:modified xsi:type="dcterms:W3CDTF">2025-12-05T23:06:11Z</dcterms:modified>
  <cp:category/>
  <cp:contentStatus/>
</cp:coreProperties>
</file>